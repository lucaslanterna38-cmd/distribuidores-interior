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depo102\J\Usuarios\Lucas L\Distribuidores\"/>
    </mc:Choice>
  </mc:AlternateContent>
  <xr:revisionPtr revIDLastSave="0" documentId="13_ncr:1_{A9E735EB-51C4-4A75-8C39-A46F03BC98B4}" xr6:coauthVersionLast="47" xr6:coauthVersionMax="47" xr10:uidLastSave="{00000000-0000-0000-0000-000000000000}"/>
  <bookViews>
    <workbookView xWindow="-28920" yWindow="-120" windowWidth="29040" windowHeight="15720" firstSheet="2" activeTab="5" xr2:uid="{00000000-000D-0000-FFFF-FFFF00000000}"/>
  </bookViews>
  <sheets>
    <sheet name="Base Vendedores Trad Mvd" sheetId="5" state="hidden" r:id="rId1"/>
    <sheet name="Porcentajes (Distribuidores)" sheetId="4" state="hidden" r:id="rId2"/>
    <sheet name="Distribuidores por Marca en $" sheetId="9" r:id="rId3"/>
    <sheet name="Volcado_Dist" sheetId="10" r:id="rId4"/>
    <sheet name="Volcado_Vend" sheetId="11" r:id="rId5"/>
    <sheet name="Vendedores" sheetId="13" r:id="rId6"/>
    <sheet name="Credenciales" sheetId="12" r:id="rId7"/>
    <sheet name="Importe $ (Distribuidores)" sheetId="3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3" i="9"/>
  <c r="X11" i="9"/>
  <c r="X12" i="9"/>
  <c r="X9" i="9"/>
  <c r="X10" i="9"/>
  <c r="X4" i="9"/>
  <c r="X5" i="9"/>
  <c r="X6" i="9"/>
  <c r="X7" i="9"/>
  <c r="X8" i="9"/>
  <c r="X3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C68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C69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C70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C71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C72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C73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C74" i="9"/>
  <c r="D74" i="9"/>
  <c r="E74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C75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C76" i="9"/>
  <c r="D76" i="9"/>
  <c r="E76" i="9"/>
  <c r="F76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C77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C78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C79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C80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C81" i="9"/>
  <c r="D81" i="9"/>
  <c r="E81" i="9"/>
  <c r="F81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C82" i="9"/>
  <c r="D82" i="9"/>
  <c r="E82" i="9"/>
  <c r="F82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C83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C84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C85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C86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C87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C88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C89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C90" i="9"/>
  <c r="D90" i="9"/>
  <c r="E90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C91" i="9"/>
  <c r="D91" i="9"/>
  <c r="E91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C92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C93" i="9"/>
  <c r="D93" i="9"/>
  <c r="E93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C94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C95" i="9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C96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C98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C99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C101" i="9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C102" i="9"/>
  <c r="D102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C108" i="9"/>
  <c r="D108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C109" i="9"/>
  <c r="D109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C111" i="9"/>
  <c r="D111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C112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C113" i="9"/>
  <c r="D113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C114" i="9"/>
  <c r="D114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C115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C116" i="9"/>
  <c r="D116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C117" i="9"/>
  <c r="D117" i="9"/>
  <c r="E117" i="9"/>
  <c r="F117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C118" i="9"/>
  <c r="D118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C119" i="9"/>
  <c r="D119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C120" i="9"/>
  <c r="D120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C128" i="9"/>
  <c r="D128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5" i="9"/>
  <c r="C6" i="9"/>
  <c r="C7" i="9"/>
  <c r="C8" i="9"/>
  <c r="C9" i="9"/>
  <c r="C10" i="9"/>
  <c r="C4" i="9"/>
  <c r="A131" i="5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31" i="3"/>
  <c r="W128" i="4"/>
  <c r="I47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5" i="5"/>
  <c r="H131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5" i="5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W33" i="9" l="1"/>
  <c r="Y33" i="9" s="1"/>
  <c r="V129" i="9"/>
  <c r="W17" i="9"/>
  <c r="Y17" i="9" s="1"/>
  <c r="W16" i="9"/>
  <c r="Y16" i="9" s="1"/>
  <c r="W7" i="9"/>
  <c r="Y7" i="9" s="1"/>
  <c r="W19" i="9"/>
  <c r="Y19" i="9" s="1"/>
  <c r="W5" i="9"/>
  <c r="Y5" i="9" s="1"/>
  <c r="W18" i="9"/>
  <c r="Y18" i="9" s="1"/>
  <c r="E129" i="9"/>
  <c r="W126" i="9"/>
  <c r="Y126" i="9" s="1"/>
  <c r="W122" i="9"/>
  <c r="Y122" i="9" s="1"/>
  <c r="W118" i="9"/>
  <c r="Y118" i="9" s="1"/>
  <c r="W114" i="9"/>
  <c r="Y114" i="9" s="1"/>
  <c r="W110" i="9"/>
  <c r="Y110" i="9" s="1"/>
  <c r="W106" i="9"/>
  <c r="Y106" i="9" s="1"/>
  <c r="W102" i="9"/>
  <c r="Y102" i="9" s="1"/>
  <c r="W98" i="9"/>
  <c r="Y98" i="9" s="1"/>
  <c r="W94" i="9"/>
  <c r="Y94" i="9" s="1"/>
  <c r="W90" i="9"/>
  <c r="Y90" i="9" s="1"/>
  <c r="W86" i="9"/>
  <c r="Y86" i="9" s="1"/>
  <c r="W82" i="9"/>
  <c r="Y82" i="9" s="1"/>
  <c r="W78" i="9"/>
  <c r="Y78" i="9" s="1"/>
  <c r="W74" i="9"/>
  <c r="Y74" i="9" s="1"/>
  <c r="W70" i="9"/>
  <c r="Y70" i="9" s="1"/>
  <c r="W66" i="9"/>
  <c r="Y66" i="9" s="1"/>
  <c r="W62" i="9"/>
  <c r="Y62" i="9" s="1"/>
  <c r="W58" i="9"/>
  <c r="Y58" i="9" s="1"/>
  <c r="W54" i="9"/>
  <c r="Y54" i="9" s="1"/>
  <c r="W50" i="9"/>
  <c r="Y50" i="9" s="1"/>
  <c r="W46" i="9"/>
  <c r="Y46" i="9" s="1"/>
  <c r="W42" i="9"/>
  <c r="Y42" i="9" s="1"/>
  <c r="W38" i="9"/>
  <c r="Y38" i="9" s="1"/>
  <c r="W34" i="9"/>
  <c r="Y34" i="9" s="1"/>
  <c r="W32" i="9"/>
  <c r="Y32" i="9" s="1"/>
  <c r="W31" i="9"/>
  <c r="Y31" i="9" s="1"/>
  <c r="W15" i="9"/>
  <c r="Y15" i="9" s="1"/>
  <c r="W30" i="9"/>
  <c r="Y30" i="9" s="1"/>
  <c r="W14" i="9"/>
  <c r="Y14" i="9" s="1"/>
  <c r="W125" i="9"/>
  <c r="Y125" i="9" s="1"/>
  <c r="W121" i="9"/>
  <c r="Y121" i="9" s="1"/>
  <c r="W117" i="9"/>
  <c r="Y117" i="9" s="1"/>
  <c r="W113" i="9"/>
  <c r="Y113" i="9" s="1"/>
  <c r="W109" i="9"/>
  <c r="Y109" i="9" s="1"/>
  <c r="W105" i="9"/>
  <c r="Y105" i="9" s="1"/>
  <c r="W101" i="9"/>
  <c r="Y101" i="9" s="1"/>
  <c r="W97" i="9"/>
  <c r="Y97" i="9" s="1"/>
  <c r="W93" i="9"/>
  <c r="Y93" i="9" s="1"/>
  <c r="W89" i="9"/>
  <c r="Y89" i="9" s="1"/>
  <c r="W85" i="9"/>
  <c r="Y85" i="9" s="1"/>
  <c r="W81" i="9"/>
  <c r="Y81" i="9" s="1"/>
  <c r="W77" i="9"/>
  <c r="Y77" i="9" s="1"/>
  <c r="W73" i="9"/>
  <c r="Y73" i="9" s="1"/>
  <c r="W69" i="9"/>
  <c r="Y69" i="9" s="1"/>
  <c r="W65" i="9"/>
  <c r="Y65" i="9" s="1"/>
  <c r="W61" i="9"/>
  <c r="Y61" i="9" s="1"/>
  <c r="W53" i="9"/>
  <c r="Y53" i="9" s="1"/>
  <c r="W49" i="9"/>
  <c r="Y49" i="9" s="1"/>
  <c r="W45" i="9"/>
  <c r="Y45" i="9" s="1"/>
  <c r="W37" i="9"/>
  <c r="Y37" i="9" s="1"/>
  <c r="W29" i="9"/>
  <c r="Y29" i="9" s="1"/>
  <c r="W28" i="9"/>
  <c r="Y28" i="9" s="1"/>
  <c r="W12" i="9"/>
  <c r="Y12" i="9" s="1"/>
  <c r="W57" i="9"/>
  <c r="Y57" i="9" s="1"/>
  <c r="W41" i="9"/>
  <c r="Y41" i="9" s="1"/>
  <c r="W27" i="9"/>
  <c r="Y27" i="9" s="1"/>
  <c r="W128" i="9"/>
  <c r="Y128" i="9" s="1"/>
  <c r="W124" i="9"/>
  <c r="Y124" i="9" s="1"/>
  <c r="W120" i="9"/>
  <c r="Y120" i="9" s="1"/>
  <c r="W116" i="9"/>
  <c r="Y116" i="9" s="1"/>
  <c r="W112" i="9"/>
  <c r="Y112" i="9" s="1"/>
  <c r="W108" i="9"/>
  <c r="Y108" i="9" s="1"/>
  <c r="W104" i="9"/>
  <c r="Y104" i="9" s="1"/>
  <c r="W100" i="9"/>
  <c r="Y100" i="9" s="1"/>
  <c r="W96" i="9"/>
  <c r="Y96" i="9" s="1"/>
  <c r="W92" i="9"/>
  <c r="Y92" i="9" s="1"/>
  <c r="W88" i="9"/>
  <c r="Y88" i="9" s="1"/>
  <c r="W84" i="9"/>
  <c r="Y84" i="9" s="1"/>
  <c r="W80" i="9"/>
  <c r="Y80" i="9" s="1"/>
  <c r="W76" i="9"/>
  <c r="Y76" i="9" s="1"/>
  <c r="W72" i="9"/>
  <c r="Y72" i="9" s="1"/>
  <c r="W68" i="9"/>
  <c r="Y68" i="9" s="1"/>
  <c r="W64" i="9"/>
  <c r="Y64" i="9" s="1"/>
  <c r="W60" i="9"/>
  <c r="Y60" i="9" s="1"/>
  <c r="W56" i="9"/>
  <c r="Y56" i="9" s="1"/>
  <c r="W52" i="9"/>
  <c r="Y52" i="9" s="1"/>
  <c r="W48" i="9"/>
  <c r="Y48" i="9" s="1"/>
  <c r="W44" i="9"/>
  <c r="Y44" i="9" s="1"/>
  <c r="W40" i="9"/>
  <c r="Y40" i="9" s="1"/>
  <c r="W36" i="9"/>
  <c r="Y36" i="9" s="1"/>
  <c r="W13" i="9"/>
  <c r="Y13" i="9" s="1"/>
  <c r="W11" i="9"/>
  <c r="Y11" i="9" s="1"/>
  <c r="W26" i="9"/>
  <c r="Y26" i="9" s="1"/>
  <c r="W25" i="9"/>
  <c r="Y25" i="9" s="1"/>
  <c r="W4" i="9"/>
  <c r="Y4" i="9" s="1"/>
  <c r="W24" i="9"/>
  <c r="Y24" i="9" s="1"/>
  <c r="W10" i="9"/>
  <c r="Y10" i="9" s="1"/>
  <c r="W23" i="9"/>
  <c r="Y23" i="9" s="1"/>
  <c r="W9" i="9"/>
  <c r="Y9" i="9" s="1"/>
  <c r="W127" i="9"/>
  <c r="Y127" i="9" s="1"/>
  <c r="W123" i="9"/>
  <c r="Y123" i="9" s="1"/>
  <c r="W119" i="9"/>
  <c r="Y119" i="9" s="1"/>
  <c r="W115" i="9"/>
  <c r="Y115" i="9" s="1"/>
  <c r="W111" i="9"/>
  <c r="Y111" i="9" s="1"/>
  <c r="W107" i="9"/>
  <c r="Y107" i="9" s="1"/>
  <c r="W103" i="9"/>
  <c r="Y103" i="9" s="1"/>
  <c r="W99" i="9"/>
  <c r="Y99" i="9" s="1"/>
  <c r="W95" i="9"/>
  <c r="Y95" i="9" s="1"/>
  <c r="W91" i="9"/>
  <c r="Y91" i="9" s="1"/>
  <c r="W87" i="9"/>
  <c r="Y87" i="9" s="1"/>
  <c r="W83" i="9"/>
  <c r="Y83" i="9" s="1"/>
  <c r="W79" i="9"/>
  <c r="Y79" i="9" s="1"/>
  <c r="W75" i="9"/>
  <c r="Y75" i="9" s="1"/>
  <c r="W71" i="9"/>
  <c r="Y71" i="9" s="1"/>
  <c r="W67" i="9"/>
  <c r="Y67" i="9" s="1"/>
  <c r="W63" i="9"/>
  <c r="Y63" i="9" s="1"/>
  <c r="W59" i="9"/>
  <c r="Y59" i="9" s="1"/>
  <c r="W55" i="9"/>
  <c r="Y55" i="9" s="1"/>
  <c r="W51" i="9"/>
  <c r="Y51" i="9" s="1"/>
  <c r="W47" i="9"/>
  <c r="Y47" i="9" s="1"/>
  <c r="W43" i="9"/>
  <c r="Y43" i="9" s="1"/>
  <c r="W39" i="9"/>
  <c r="Y39" i="9" s="1"/>
  <c r="W35" i="9"/>
  <c r="Y35" i="9" s="1"/>
  <c r="W8" i="9"/>
  <c r="Y8" i="9" s="1"/>
  <c r="W22" i="9"/>
  <c r="Y22" i="9" s="1"/>
  <c r="W21" i="9"/>
  <c r="Y21" i="9" s="1"/>
  <c r="W20" i="9"/>
  <c r="Y20" i="9" s="1"/>
  <c r="W6" i="9"/>
  <c r="Y6" i="9" s="1"/>
  <c r="G129" i="9"/>
  <c r="F129" i="9"/>
  <c r="I129" i="9"/>
  <c r="W3" i="9"/>
  <c r="Y3" i="9" s="1"/>
  <c r="X129" i="9"/>
  <c r="M129" i="9"/>
  <c r="Q129" i="9"/>
  <c r="S129" i="9"/>
  <c r="U129" i="9"/>
  <c r="R129" i="9"/>
  <c r="P129" i="9"/>
  <c r="H129" i="9"/>
  <c r="D129" i="9"/>
  <c r="L129" i="9"/>
  <c r="N129" i="9"/>
  <c r="K129" i="9"/>
  <c r="O129" i="9"/>
  <c r="J129" i="9"/>
  <c r="T129" i="9"/>
  <c r="C129" i="9"/>
  <c r="B2" i="4"/>
  <c r="B128" i="4" s="1"/>
  <c r="H128" i="4"/>
  <c r="M128" i="4"/>
  <c r="L128" i="4"/>
  <c r="F128" i="4"/>
  <c r="V91" i="4"/>
  <c r="V55" i="4"/>
  <c r="K128" i="4"/>
  <c r="V126" i="4"/>
  <c r="V19" i="4"/>
  <c r="V53" i="4"/>
  <c r="V49" i="4"/>
  <c r="V6" i="4"/>
  <c r="V66" i="4"/>
  <c r="V3" i="4"/>
  <c r="V16" i="4"/>
  <c r="V80" i="4"/>
  <c r="V100" i="4"/>
  <c r="V116" i="4"/>
  <c r="V73" i="4"/>
  <c r="V77" i="4"/>
  <c r="V93" i="4"/>
  <c r="V86" i="4"/>
  <c r="V90" i="4"/>
  <c r="V63" i="4"/>
  <c r="V27" i="4"/>
  <c r="V31" i="4"/>
  <c r="V39" i="4"/>
  <c r="V43" i="4"/>
  <c r="V24" i="4"/>
  <c r="V40" i="4"/>
  <c r="V25" i="4"/>
  <c r="V41" i="4"/>
  <c r="V22" i="4"/>
  <c r="V34" i="4"/>
  <c r="V74" i="4"/>
  <c r="V78" i="4"/>
  <c r="V94" i="4"/>
  <c r="V87" i="4"/>
  <c r="V95" i="4"/>
  <c r="V111" i="4"/>
  <c r="V115" i="4"/>
  <c r="V62" i="4"/>
  <c r="V92" i="4"/>
  <c r="V85" i="4"/>
  <c r="V89" i="4"/>
  <c r="J128" i="4"/>
  <c r="V114" i="4"/>
  <c r="V110" i="4"/>
  <c r="V108" i="4"/>
  <c r="V96" i="4"/>
  <c r="V99" i="4"/>
  <c r="V83" i="4"/>
  <c r="V67" i="4"/>
  <c r="V51" i="4"/>
  <c r="V35" i="4"/>
  <c r="V113" i="4"/>
  <c r="V97" i="4"/>
  <c r="V81" i="4"/>
  <c r="V124" i="4"/>
  <c r="V76" i="4"/>
  <c r="V60" i="4"/>
  <c r="V44" i="4"/>
  <c r="V28" i="4"/>
  <c r="V12" i="4"/>
  <c r="V119" i="4"/>
  <c r="V103" i="4"/>
  <c r="V71" i="4"/>
  <c r="V23" i="4"/>
  <c r="V7" i="4"/>
  <c r="V32" i="4"/>
  <c r="V118" i="4"/>
  <c r="V102" i="4"/>
  <c r="V70" i="4"/>
  <c r="V54" i="4"/>
  <c r="V38" i="4"/>
  <c r="V47" i="4"/>
  <c r="V15" i="4"/>
  <c r="V117" i="4"/>
  <c r="V101" i="4"/>
  <c r="V69" i="4"/>
  <c r="V37" i="4"/>
  <c r="V21" i="4"/>
  <c r="V5" i="4"/>
  <c r="V127" i="4"/>
  <c r="V112" i="4"/>
  <c r="V79" i="4"/>
  <c r="V46" i="4"/>
  <c r="V30" i="4"/>
  <c r="V14" i="4"/>
  <c r="V84" i="4"/>
  <c r="V68" i="4"/>
  <c r="V52" i="4"/>
  <c r="V36" i="4"/>
  <c r="V20" i="4"/>
  <c r="V4" i="4"/>
  <c r="V98" i="4"/>
  <c r="V82" i="4"/>
  <c r="V125" i="4"/>
  <c r="V109" i="4"/>
  <c r="V61" i="4"/>
  <c r="V45" i="4"/>
  <c r="V29" i="4"/>
  <c r="V13" i="4"/>
  <c r="V123" i="4"/>
  <c r="V107" i="4"/>
  <c r="V75" i="4"/>
  <c r="V59" i="4"/>
  <c r="V11" i="4"/>
  <c r="V122" i="4"/>
  <c r="V106" i="4"/>
  <c r="V58" i="4"/>
  <c r="V42" i="4"/>
  <c r="V26" i="4"/>
  <c r="V10" i="4"/>
  <c r="V121" i="4"/>
  <c r="V105" i="4"/>
  <c r="V57" i="4"/>
  <c r="V9" i="4"/>
  <c r="V65" i="4"/>
  <c r="V50" i="4"/>
  <c r="V18" i="4"/>
  <c r="V2" i="4"/>
  <c r="V120" i="4"/>
  <c r="V104" i="4"/>
  <c r="V88" i="4"/>
  <c r="V72" i="4"/>
  <c r="V56" i="4"/>
  <c r="V8" i="4"/>
  <c r="V64" i="4"/>
  <c r="V48" i="4"/>
  <c r="V33" i="4"/>
  <c r="V17" i="4"/>
  <c r="W129" i="9" l="1"/>
  <c r="P128" i="4"/>
  <c r="R128" i="4"/>
  <c r="E128" i="4"/>
  <c r="S128" i="4"/>
  <c r="T128" i="4"/>
  <c r="G128" i="4"/>
  <c r="C128" i="4"/>
  <c r="D128" i="4"/>
  <c r="O128" i="4"/>
  <c r="Q128" i="4"/>
  <c r="N128" i="4"/>
  <c r="I128" i="4"/>
  <c r="U128" i="4"/>
  <c r="V128" i="4"/>
</calcChain>
</file>

<file path=xl/sharedStrings.xml><?xml version="1.0" encoding="utf-8"?>
<sst xmlns="http://schemas.openxmlformats.org/spreadsheetml/2006/main" count="1308" uniqueCount="228">
  <si>
    <t>Medidas</t>
  </si>
  <si>
    <t>Cliente</t>
  </si>
  <si>
    <t>cliente</t>
  </si>
  <si>
    <t>033422;COMBINADOS SRL</t>
  </si>
  <si>
    <t>033613;CORREA GULARTE KATIA</t>
  </si>
  <si>
    <t>033897;BUGAIOV AZURICA ALVARO MARTIN</t>
  </si>
  <si>
    <t>035244;RINAKOLL S.A.</t>
  </si>
  <si>
    <t>035572;PEREZ MAUTINO OSCAR SEBASTIAN</t>
  </si>
  <si>
    <t>036380;LASA ANDRES</t>
  </si>
  <si>
    <t>036512;AGUILERA FERNANDO</t>
  </si>
  <si>
    <t>036565;ANIBAL VAZQUEZ S.A.</t>
  </si>
  <si>
    <t>036633;GRUPOPANAL SAS</t>
  </si>
  <si>
    <t>036636;LEIZA HERMAN WILSON RAUL</t>
  </si>
  <si>
    <t>036781;DARDY S.A.</t>
  </si>
  <si>
    <t>036991;CAMPOFRIO SRL</t>
  </si>
  <si>
    <t>037040;GORMAT S.A.</t>
  </si>
  <si>
    <t>037175;MATTEO BRITOS GONZALO FEDERICO</t>
  </si>
  <si>
    <t>037218;VAMOS QUE VAMOS S EN C</t>
  </si>
  <si>
    <t>037290;CAMPO URBANO SRL</t>
  </si>
  <si>
    <t>037606;BAINEPES S.A.</t>
  </si>
  <si>
    <t>037833;LEAL DISTRIBUCION SAS</t>
  </si>
  <si>
    <t>038092;DISTRIBUIDORA SCAGNEGATTI SAS</t>
  </si>
  <si>
    <t>038513;GARCIA RIEIRO NICOLAS</t>
  </si>
  <si>
    <t>Importe $</t>
  </si>
  <si>
    <t>Fecha Calendario</t>
  </si>
  <si>
    <t>Año</t>
  </si>
  <si>
    <t>Marca</t>
  </si>
  <si>
    <t>Adler</t>
  </si>
  <si>
    <t>ALFREDO</t>
  </si>
  <si>
    <t>Arizona International LLC</t>
  </si>
  <si>
    <t>ASURIN</t>
  </si>
  <si>
    <t>BARONIE</t>
  </si>
  <si>
    <t>BARKLEYS</t>
  </si>
  <si>
    <t>Bavaria</t>
  </si>
  <si>
    <t>Bebeto</t>
  </si>
  <si>
    <t>BERGEN</t>
  </si>
  <si>
    <t>Bruggen</t>
  </si>
  <si>
    <t>BIBS</t>
  </si>
  <si>
    <t>Bolero</t>
  </si>
  <si>
    <t>Bornier</t>
  </si>
  <si>
    <t>La Bruja</t>
  </si>
  <si>
    <t>Cavendish</t>
  </si>
  <si>
    <t>Chio</t>
  </si>
  <si>
    <t>CHILANO</t>
  </si>
  <si>
    <t>Clausthaler</t>
  </si>
  <si>
    <t>Agnesi</t>
  </si>
  <si>
    <t>Coosur</t>
  </si>
  <si>
    <t>COPPENRATH</t>
  </si>
  <si>
    <t>Crispy Potato</t>
  </si>
  <si>
    <t>CRODO</t>
  </si>
  <si>
    <t>CROPPERS</t>
  </si>
  <si>
    <t>CUETARA</t>
  </si>
  <si>
    <t>DAB</t>
  </si>
  <si>
    <t>Dancake</t>
  </si>
  <si>
    <t>DE CECCO</t>
  </si>
  <si>
    <t>Delicias</t>
  </si>
  <si>
    <t>DE LAS HERAS</t>
  </si>
  <si>
    <t>Diamant</t>
  </si>
  <si>
    <t>Dr.Beckmann</t>
  </si>
  <si>
    <t>Droste</t>
  </si>
  <si>
    <t>GRAN DUQUE</t>
  </si>
  <si>
    <t>El Almendro</t>
  </si>
  <si>
    <t>Emborg</t>
  </si>
  <si>
    <t>Equador</t>
  </si>
  <si>
    <t>La Española</t>
  </si>
  <si>
    <t>Estrella - Algodon</t>
  </si>
  <si>
    <t>Fa</t>
  </si>
  <si>
    <t>Faxe</t>
  </si>
  <si>
    <t>FELIX</t>
  </si>
  <si>
    <t>FITTYDENT</t>
  </si>
  <si>
    <t>Fixodent</t>
  </si>
  <si>
    <t>Genser</t>
  </si>
  <si>
    <t>GORBATSCHOW</t>
  </si>
  <si>
    <t>Gum</t>
  </si>
  <si>
    <t>Hag</t>
  </si>
  <si>
    <t>HALLOREEN</t>
  </si>
  <si>
    <t>Chocola's - Cúpido</t>
  </si>
  <si>
    <t>Heinz</t>
  </si>
  <si>
    <t>HELIOS</t>
  </si>
  <si>
    <t>Henkel</t>
  </si>
  <si>
    <t>HILERET</t>
  </si>
  <si>
    <t>HOLLANDIA</t>
  </si>
  <si>
    <t>HORCHANI</t>
  </si>
  <si>
    <t>Jacobsen</t>
  </si>
  <si>
    <t>Jamboree</t>
  </si>
  <si>
    <t>Jever</t>
  </si>
  <si>
    <t>JIF</t>
  </si>
  <si>
    <t>Jean Nicolás</t>
  </si>
  <si>
    <t>Jumex</t>
  </si>
  <si>
    <t>Karina</t>
  </si>
  <si>
    <t>KATHY</t>
  </si>
  <si>
    <t>KIKKOMAN</t>
  </si>
  <si>
    <t>KOTANYI</t>
  </si>
  <si>
    <t>Kruger</t>
  </si>
  <si>
    <t>KUPIEC</t>
  </si>
  <si>
    <t>LANIN</t>
  </si>
  <si>
    <t>LEDVANCE</t>
  </si>
  <si>
    <t>LINDT</t>
  </si>
  <si>
    <t>LUBUSKI</t>
  </si>
  <si>
    <t>Mackays</t>
  </si>
  <si>
    <t>MANSA</t>
  </si>
  <si>
    <t>Maretti</t>
  </si>
  <si>
    <t>MATEO</t>
  </si>
  <si>
    <t>MOCOCA</t>
  </si>
  <si>
    <t>Mestermacher</t>
  </si>
  <si>
    <t>Monardi y Federzoni</t>
  </si>
  <si>
    <t>MY MOTTO</t>
  </si>
  <si>
    <t>M&amp;M</t>
  </si>
  <si>
    <t>Natural Earth Products</t>
  </si>
  <si>
    <t>Neugebauer</t>
  </si>
  <si>
    <t>NISSIN</t>
  </si>
  <si>
    <t>Nerds</t>
  </si>
  <si>
    <t>Nutry / Nutribom</t>
  </si>
  <si>
    <t>Oettinger</t>
  </si>
  <si>
    <t>Oranjeboom</t>
  </si>
  <si>
    <t>Otros</t>
  </si>
  <si>
    <t>Papstar</t>
  </si>
  <si>
    <t>Paulsen</t>
  </si>
  <si>
    <t>Pea Diat</t>
  </si>
  <si>
    <t>Cafe Pele</t>
  </si>
  <si>
    <t>Piasten</t>
  </si>
  <si>
    <t>PITTJES</t>
  </si>
  <si>
    <t>Peter Mertes</t>
  </si>
  <si>
    <t>Pyrex</t>
  </si>
  <si>
    <t>Remia</t>
  </si>
  <si>
    <t>Reynolds</t>
  </si>
  <si>
    <t>rice up!</t>
  </si>
  <si>
    <t>RIEGLEIN</t>
  </si>
  <si>
    <t>Rugenfish</t>
  </si>
  <si>
    <t>Santa Rosa</t>
  </si>
  <si>
    <t>SAN BENEDETTO</t>
  </si>
  <si>
    <t>SAROTTI</t>
  </si>
  <si>
    <t>Schofferhöfer</t>
  </si>
  <si>
    <t>Serpis</t>
  </si>
  <si>
    <t>Superfrut</t>
  </si>
  <si>
    <t>SKITTLES</t>
  </si>
  <si>
    <t>Snicker</t>
  </si>
  <si>
    <t>SWISS ALPS</t>
  </si>
  <si>
    <t>Tabasco</t>
  </si>
  <si>
    <t>TAN Zhangzhou Tan Co.</t>
  </si>
  <si>
    <t>Taragui</t>
  </si>
  <si>
    <t>Tipiak</t>
  </si>
  <si>
    <t>El Torreon</t>
  </si>
  <si>
    <t>Trolli</t>
  </si>
  <si>
    <t>Tulip</t>
  </si>
  <si>
    <t>Twix</t>
  </si>
  <si>
    <t>VALENTINO</t>
  </si>
  <si>
    <t>VALSOIA</t>
  </si>
  <si>
    <t>VENTISQUERO</t>
  </si>
  <si>
    <t>VIGILANTE</t>
  </si>
  <si>
    <t>Vileda</t>
  </si>
  <si>
    <t>Villa Dorada</t>
  </si>
  <si>
    <t>WRIGLEY`S</t>
  </si>
  <si>
    <t>2026</t>
  </si>
  <si>
    <t>PROMEDIO DISTRIBUIDORES</t>
  </si>
  <si>
    <t>Vendedor</t>
  </si>
  <si>
    <t>CELLE ROSA MARIO SEBASTIAN</t>
  </si>
  <si>
    <t>AGUETE PIZZI SERGIO MATHIAS</t>
  </si>
  <si>
    <t>SCHMIDT ECHEVARRIA JOSE MARTIN</t>
  </si>
  <si>
    <t>BIANCHI GAMBA JUAN EDUARDO</t>
  </si>
  <si>
    <t>BALZARINI NACERE ROBERTO PABLO</t>
  </si>
  <si>
    <t>BAGGIO</t>
  </si>
  <si>
    <t>FECOVITA</t>
  </si>
  <si>
    <t>TOTAL</t>
  </si>
  <si>
    <t>PORCENTAJE VENDEDORES MVD TRAD</t>
  </si>
  <si>
    <t>Total</t>
  </si>
  <si>
    <t>PROMEDIO TOTAL</t>
  </si>
  <si>
    <t>034287;QUESERIA AGUILERA SAS</t>
  </si>
  <si>
    <t>034999;ACAMAR S.A.</t>
  </si>
  <si>
    <t>038311;FRIGUS SAS</t>
  </si>
  <si>
    <t>KUEMMERLING</t>
  </si>
  <si>
    <t>CANCELA SOBA GUSTAVO ENRIQUE</t>
  </si>
  <si>
    <t>MENESES OSUNA ISAAC BERNABE</t>
  </si>
  <si>
    <t>IRIGOITIA GIMENEZ  MARIA SILVIA</t>
  </si>
  <si>
    <t>FONTAINA MONTENEGRO LUIS MANUEL</t>
  </si>
  <si>
    <t>MENDIBERRY PEREZ  RUBEN ANDRES</t>
  </si>
  <si>
    <t>PALADINO ALBIN DAMIAN EZEQUIEL</t>
  </si>
  <si>
    <t>GUM BOX</t>
  </si>
  <si>
    <t>[credenciales]</t>
  </si>
  <si>
    <t>admin = {pass = "gerencia2026", rol = "gerencia"}</t>
  </si>
  <si>
    <t>033422 = {pass = "dist1234", rol = "distribuidor"}</t>
  </si>
  <si>
    <t>033613 = {pass = "dist1234", rol = "distribuidor"}</t>
  </si>
  <si>
    <t>033897 = {pass = "dist1234", rol = "distribuidor"}</t>
  </si>
  <si>
    <t>035244 = {pass = "dist1234", rol = "distribuidor"}</t>
  </si>
  <si>
    <t>035572 = {pass = "dist1234", rol = "distribuidor"}</t>
  </si>
  <si>
    <t>036380 = {pass = "dist1234", rol = "distribuidor"}</t>
  </si>
  <si>
    <t>036512 = {pass = "dist1234", rol = "distribuidor"}</t>
  </si>
  <si>
    <t>037290 = {pass = "dist1234", rol = "distribuidor"}</t>
  </si>
  <si>
    <t>037606 = {pass = "dist1234", rol = "distribuidor"}</t>
  </si>
  <si>
    <t>037833 = {pass = "dist1234", rol = "distribuidor"}</t>
  </si>
  <si>
    <t>038092 = {pass = "dist1234", rol = "distribuidor"}</t>
  </si>
  <si>
    <t>038513 = {pass = "dist1234", rol = "distribuidor"}</t>
  </si>
  <si>
    <t>036565 = {pass = "dist1234", rol = "distribuidor"}</t>
  </si>
  <si>
    <t>036633 = {pass = "dist1234", rol = "distribuidor"}</t>
  </si>
  <si>
    <t>036636 = {pass = "dist1234", rol = "distribuidor"}</t>
  </si>
  <si>
    <t>036781 = {pass = "dist1234", rol = "distribuidor"}</t>
  </si>
  <si>
    <t>036991 = {pass = "dist1234", rol = "distribuidor"}</t>
  </si>
  <si>
    <t>037040 = {pass = "dist1234", rol = "distribuidor"}</t>
  </si>
  <si>
    <t>037175 = {pass = "dist1234", rol = "distribuidor"}</t>
  </si>
  <si>
    <t>037218 = {pass = "dist1234", rol = "distribuidor"}</t>
  </si>
  <si>
    <t>Manuel Fontaina</t>
  </si>
  <si>
    <t>GARCIA RIEIRO NICOLAS</t>
  </si>
  <si>
    <t>DISTRIBUIDORA SCAGNEGATTI SAS</t>
  </si>
  <si>
    <t>Eduardo Bianchi</t>
  </si>
  <si>
    <t>LEAL DISTRIBUCION SAS</t>
  </si>
  <si>
    <t>Andres Mendiberry</t>
  </si>
  <si>
    <t>BAINEPES S.A.</t>
  </si>
  <si>
    <t>CAMPO URBANO SRL</t>
  </si>
  <si>
    <t>Isaac Meneses</t>
  </si>
  <si>
    <t>VAMOS QUE VAMOS S EN C</t>
  </si>
  <si>
    <t>MATTEO BRITOS GONZALO FEDERICO</t>
  </si>
  <si>
    <t>GORMAT S.A.</t>
  </si>
  <si>
    <t>CAMPOFRIO SRL</t>
  </si>
  <si>
    <t>DARDY S.A.</t>
  </si>
  <si>
    <t>LEIZA HERMAN WILSON RAUL</t>
  </si>
  <si>
    <t>GRUPOPANAL SAS</t>
  </si>
  <si>
    <t>ANIBAL VAZQUEZ S.A.</t>
  </si>
  <si>
    <t>AGUILERA FERNANDO</t>
  </si>
  <si>
    <t>LASA ANDRES</t>
  </si>
  <si>
    <t>PEREZ MAUTINO OSCAR SEBASTIAN</t>
  </si>
  <si>
    <t>RINAKOLL S.A.</t>
  </si>
  <si>
    <t>BUGAIOV AZURICA ALVARO MARTIN</t>
  </si>
  <si>
    <t>CORREA GULARTE KATIA</t>
  </si>
  <si>
    <t>COMBINADOS SRL</t>
  </si>
  <si>
    <t>VENDEDOR</t>
  </si>
  <si>
    <t>CÓDIGO Y DISTRIBUIDOR</t>
  </si>
  <si>
    <t>DISTRIBUIDOR</t>
  </si>
  <si>
    <t>CÓDIGO DISTRIBUIDOR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</si>
</sst>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2"/>
      <color indexed="8"/>
      <name val="Calibri"/>
    </font>
    <font>
      <sz val="11"/>
      <color indexed="9"/>
      <name val="Calibri"/>
      <family val="2"/>
    </font>
    <font>
      <sz val="12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37" fontId="4" fillId="4" borderId="0" xfId="0" applyNumberFormat="1" applyFont="1" applyFill="1" applyAlignment="1">
      <alignment horizontal="right" vertical="center"/>
    </xf>
    <xf numFmtId="37" fontId="0" fillId="0" borderId="0" xfId="0" applyNumberFormat="1"/>
    <xf numFmtId="10" fontId="4" fillId="4" borderId="0" xfId="0" applyNumberFormat="1" applyFont="1" applyFill="1" applyAlignment="1">
      <alignment horizontal="right" vertical="center"/>
    </xf>
    <xf numFmtId="10" fontId="0" fillId="0" borderId="0" xfId="0" applyNumberFormat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10" fontId="0" fillId="6" borderId="0" xfId="0" applyNumberForma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0" fontId="0" fillId="0" borderId="1" xfId="0" applyNumberFormat="1" applyBorder="1"/>
    <xf numFmtId="10" fontId="0" fillId="0" borderId="6" xfId="0" applyNumberFormat="1" applyBorder="1"/>
    <xf numFmtId="0" fontId="0" fillId="0" borderId="7" xfId="0" applyBorder="1"/>
    <xf numFmtId="10" fontId="0" fillId="0" borderId="8" xfId="0" applyNumberFormat="1" applyBorder="1"/>
    <xf numFmtId="0" fontId="5" fillId="7" borderId="0" xfId="0" applyFont="1" applyFill="1" applyAlignment="1">
      <alignment horizontal="left" vertical="center"/>
    </xf>
    <xf numFmtId="10" fontId="6" fillId="8" borderId="0" xfId="0" applyNumberFormat="1" applyFont="1" applyFill="1" applyAlignment="1">
      <alignment horizontal="right" vertical="center"/>
    </xf>
    <xf numFmtId="0" fontId="7" fillId="0" borderId="7" xfId="0" applyFont="1" applyBorder="1"/>
    <xf numFmtId="0" fontId="0" fillId="0" borderId="8" xfId="0" applyBorder="1"/>
    <xf numFmtId="10" fontId="0" fillId="0" borderId="3" xfId="0" applyNumberFormat="1" applyBorder="1"/>
    <xf numFmtId="0" fontId="0" fillId="0" borderId="0" xfId="0"/>
    <xf numFmtId="0" fontId="0" fillId="6" borderId="0" xfId="0" applyFill="1"/>
    <xf numFmtId="0" fontId="0" fillId="0" borderId="0" xfId="0"/>
    <xf numFmtId="37" fontId="4" fillId="4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102"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none"/>
      </font>
      <fill>
        <patternFill patternType="solid">
          <fgColor indexed="64"/>
          <bgColor indexed="2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scheme val="none"/>
      </font>
      <fill>
        <patternFill patternType="solid">
          <fgColor indexed="64"/>
          <bgColor indexed="23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scheme val="none"/>
      </font>
      <fill>
        <patternFill patternType="solid">
          <fgColor indexed="64"/>
          <bgColor indexed="23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63039-EE7F-4F49-A5F8-4710208926F0}" name="Tabla1" displayName="Tabla1" ref="A1:W128" totalsRowCount="1" headerRowDxfId="101" dataDxfId="100">
  <autoFilter ref="A1:W127" xr:uid="{CAD63039-EE7F-4F49-A5F8-4710208926F0}"/>
  <tableColumns count="23">
    <tableColumn id="1" xr3:uid="{3D93952C-7449-4074-941B-7A49DE5C7B3A}" name="Marca" dataDxfId="99" totalsRowDxfId="98"/>
    <tableColumn id="2" xr3:uid="{D576CEAE-50FA-4114-85C2-C73757B21EF7}" name="033422;COMBINADOS SRL" totalsRowFunction="custom" dataDxfId="97" totalsRowDxfId="96">
      <calculatedColumnFormula>'Importe $ (Distribuidores)'!C5/'Importe $ (Distribuidores)'!C$131</calculatedColumnFormula>
      <totalsRowFormula>SUM(B2:B127)</totalsRowFormula>
    </tableColumn>
    <tableColumn id="3" xr3:uid="{ED26DACB-FD4A-48C5-BEEB-0370F8AC52FE}" name="033613;CORREA GULARTE KATIA" totalsRowFunction="custom" dataDxfId="95" totalsRowDxfId="94">
      <calculatedColumnFormula>'Importe $ (Distribuidores)'!D5/'Importe $ (Distribuidores)'!D$131</calculatedColumnFormula>
      <totalsRowFormula>SUM(C2:C127)</totalsRowFormula>
    </tableColumn>
    <tableColumn id="4" xr3:uid="{B824B2D8-3802-40CA-9F9A-427F3117D331}" name="033897;BUGAIOV AZURICA ALVARO MARTIN" totalsRowFunction="custom" dataDxfId="93" totalsRowDxfId="92">
      <calculatedColumnFormula>'Importe $ (Distribuidores)'!E5/'Importe $ (Distribuidores)'!E$131</calculatedColumnFormula>
      <totalsRowFormula>SUM(D2:D127)</totalsRowFormula>
    </tableColumn>
    <tableColumn id="5" xr3:uid="{BD69DED5-5206-45DF-8CA1-AD53C3225EF3}" name="035244;RINAKOLL S.A." totalsRowFunction="custom" dataDxfId="91" totalsRowDxfId="90">
      <calculatedColumnFormula>'Importe $ (Distribuidores)'!F5/'Importe $ (Distribuidores)'!F$131</calculatedColumnFormula>
      <totalsRowFormula>SUM(E2:E127)</totalsRowFormula>
    </tableColumn>
    <tableColumn id="6" xr3:uid="{2E0F441B-B315-4F93-A054-C21750F526F6}" name="035572;PEREZ MAUTINO OSCAR SEBASTIAN" totalsRowFunction="custom" dataDxfId="89" totalsRowDxfId="88">
      <calculatedColumnFormula>'Importe $ (Distribuidores)'!G5/'Importe $ (Distribuidores)'!G$131</calculatedColumnFormula>
      <totalsRowFormula>SUM(F2:F127)</totalsRowFormula>
    </tableColumn>
    <tableColumn id="7" xr3:uid="{B887D971-E65F-4966-A5D3-908BF2CDCE94}" name="036380;LASA ANDRES" totalsRowFunction="custom" dataDxfId="87" totalsRowDxfId="86">
      <calculatedColumnFormula>'Importe $ (Distribuidores)'!H5/'Importe $ (Distribuidores)'!H$131</calculatedColumnFormula>
      <totalsRowFormula>SUM(G2:G127)</totalsRowFormula>
    </tableColumn>
    <tableColumn id="8" xr3:uid="{29CF0222-FB0E-4FD8-8871-FABDDBAD7B13}" name="036512;AGUILERA FERNANDO" totalsRowFunction="custom" dataDxfId="85" totalsRowDxfId="84">
      <calculatedColumnFormula>'Importe $ (Distribuidores)'!I5/'Importe $ (Distribuidores)'!I$131</calculatedColumnFormula>
      <totalsRowFormula>SUM(H2:H127)</totalsRowFormula>
    </tableColumn>
    <tableColumn id="9" xr3:uid="{EA58F546-7B03-449E-9D13-FF467C25B83F}" name="036565;ANIBAL VAZQUEZ S.A." totalsRowFunction="custom" dataDxfId="83" totalsRowDxfId="82">
      <calculatedColumnFormula>'Importe $ (Distribuidores)'!J5/'Importe $ (Distribuidores)'!J$131</calculatedColumnFormula>
      <totalsRowFormula>SUM(I2:I127)</totalsRowFormula>
    </tableColumn>
    <tableColumn id="10" xr3:uid="{D0425F9B-EC5D-40BA-9183-6D6A23D11808}" name="036633;GRUPOPANAL SAS" totalsRowFunction="custom" dataDxfId="81" totalsRowDxfId="80">
      <calculatedColumnFormula>'Importe $ (Distribuidores)'!K5/'Importe $ (Distribuidores)'!K$131</calculatedColumnFormula>
      <totalsRowFormula>SUM(J2:J127)</totalsRowFormula>
    </tableColumn>
    <tableColumn id="11" xr3:uid="{B6FE648F-A380-479D-8CFF-5B005A8AB196}" name="036636;LEIZA HERMAN WILSON RAUL" totalsRowFunction="custom" dataDxfId="79" totalsRowDxfId="78">
      <calculatedColumnFormula>'Importe $ (Distribuidores)'!L5/'Importe $ (Distribuidores)'!L$131</calculatedColumnFormula>
      <totalsRowFormula>SUM(K2:K127)</totalsRowFormula>
    </tableColumn>
    <tableColumn id="12" xr3:uid="{48164DCD-3A00-4172-8A63-CA3408A49262}" name="036781;DARDY S.A." totalsRowFunction="custom" dataDxfId="77" totalsRowDxfId="76">
      <calculatedColumnFormula>'Importe $ (Distribuidores)'!M5/'Importe $ (Distribuidores)'!M$131</calculatedColumnFormula>
      <totalsRowFormula>SUM(L2:L127)</totalsRowFormula>
    </tableColumn>
    <tableColumn id="13" xr3:uid="{5E50000C-1861-4A39-9060-68AD920B047D}" name="036991;CAMPOFRIO SRL" totalsRowFunction="custom" dataDxfId="75" totalsRowDxfId="74">
      <calculatedColumnFormula>'Importe $ (Distribuidores)'!N5/'Importe $ (Distribuidores)'!N$131</calculatedColumnFormula>
      <totalsRowFormula>SUM(M2:M127)</totalsRowFormula>
    </tableColumn>
    <tableColumn id="14" xr3:uid="{090ECEB1-61F0-4B4C-8788-DCAC64B78FB8}" name="037040;GORMAT S.A." totalsRowFunction="custom" dataDxfId="73" totalsRowDxfId="72">
      <calculatedColumnFormula>'Importe $ (Distribuidores)'!O5/'Importe $ (Distribuidores)'!O$131</calculatedColumnFormula>
      <totalsRowFormula>SUM(N2:N127)</totalsRowFormula>
    </tableColumn>
    <tableColumn id="15" xr3:uid="{684CB14D-C481-47D4-BBE9-51CAE5DE2327}" name="037175;MATTEO BRITOS GONZALO FEDERICO" totalsRowFunction="custom" dataDxfId="71" totalsRowDxfId="70">
      <calculatedColumnFormula>'Importe $ (Distribuidores)'!P5/'Importe $ (Distribuidores)'!P$131</calculatedColumnFormula>
      <totalsRowFormula>SUM(O2:O127)</totalsRowFormula>
    </tableColumn>
    <tableColumn id="16" xr3:uid="{4CA64C01-6F07-4373-8A5B-0AEEEAE57BCD}" name="037218;VAMOS QUE VAMOS S EN C" totalsRowFunction="custom" dataDxfId="69" totalsRowDxfId="68">
      <calculatedColumnFormula>'Importe $ (Distribuidores)'!Q5/'Importe $ (Distribuidores)'!Q$131</calculatedColumnFormula>
      <totalsRowFormula>SUM(P2:P127)</totalsRowFormula>
    </tableColumn>
    <tableColumn id="17" xr3:uid="{9BF560A7-651F-4D25-9D41-9D09E65A51C2}" name="037290;CAMPO URBANO SRL" totalsRowFunction="custom" dataDxfId="67" totalsRowDxfId="66">
      <calculatedColumnFormula>'Importe $ (Distribuidores)'!R5/'Importe $ (Distribuidores)'!R$131</calculatedColumnFormula>
      <totalsRowFormula>SUM(Q2:Q127)</totalsRowFormula>
    </tableColumn>
    <tableColumn id="18" xr3:uid="{E5D8569B-6EB8-4625-AEA4-65A5E5CC893C}" name="037606;BAINEPES S.A." totalsRowFunction="custom" dataDxfId="65" totalsRowDxfId="64">
      <calculatedColumnFormula>'Importe $ (Distribuidores)'!S5/'Importe $ (Distribuidores)'!S$131</calculatedColumnFormula>
      <totalsRowFormula>SUM(R2:R127)</totalsRowFormula>
    </tableColumn>
    <tableColumn id="19" xr3:uid="{F4F86074-56F1-4B2A-B7C4-C1AB773A01CD}" name="037833;LEAL DISTRIBUCION SAS" totalsRowFunction="custom" dataDxfId="63" totalsRowDxfId="62">
      <calculatedColumnFormula>'Importe $ (Distribuidores)'!T5/'Importe $ (Distribuidores)'!T$131</calculatedColumnFormula>
      <totalsRowFormula>SUM(S2:S127)</totalsRowFormula>
    </tableColumn>
    <tableColumn id="20" xr3:uid="{0802B8DF-93DD-42D4-8962-E6801A161CF9}" name="038092;DISTRIBUIDORA SCAGNEGATTI SAS" totalsRowFunction="custom" dataDxfId="61" totalsRowDxfId="60">
      <calculatedColumnFormula>'Importe $ (Distribuidores)'!U5/'Importe $ (Distribuidores)'!U$131</calculatedColumnFormula>
      <totalsRowFormula>SUM(T2:T127)</totalsRowFormula>
    </tableColumn>
    <tableColumn id="21" xr3:uid="{A9CD52DB-53B6-4517-B6AF-C08B002B56BD}" name="038513;GARCIA RIEIRO NICOLAS" totalsRowFunction="custom" dataDxfId="59" totalsRowDxfId="58">
      <calculatedColumnFormula>'Importe $ (Distribuidores)'!V5/'Importe $ (Distribuidores)'!V$131</calculatedColumnFormula>
      <totalsRowFormula>SUM(U2:U127)</totalsRowFormula>
    </tableColumn>
    <tableColumn id="22" xr3:uid="{95AB9655-A133-4DA4-ADD5-1305E93CA9A3}" name="PROMEDIO DISTRIBUIDORES" totalsRowFunction="custom" dataDxfId="57" totalsRowDxfId="56">
      <calculatedColumnFormula>AVERAGE(B2:U2)</calculatedColumnFormula>
      <totalsRowFormula>SUM(V2:V127)</totalsRowFormula>
    </tableColumn>
    <tableColumn id="23" xr3:uid="{C8263A1E-07F0-457D-9A30-9773C5E36B63}" name="PORCENTAJE VENDEDORES MVD TRAD" totalsRowFunction="custom" dataDxfId="55" totalsRowDxfId="54">
      <totalsRowFormula>SUM(W2:W127)</totalsRow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2E0F0-C698-46B4-A957-408A351BFDB5}" name="Tabla2" displayName="Tabla2" ref="B2:Y129" totalsRowCount="1" headerRowDxfId="53" headerRowBorderDxfId="52" tableBorderDxfId="51" totalsRowBorderDxfId="50">
  <autoFilter ref="B2:Y128" xr:uid="{8992E0F0-C698-46B4-A957-408A351BFDB5}"/>
  <tableColumns count="24">
    <tableColumn id="1" xr3:uid="{DC9A1D9B-BE4D-4CA6-BE53-4D25FDF8CFC0}" name="Marca" totalsRowLabel="Total" dataDxfId="49" totalsRowDxfId="48"/>
    <tableColumn id="2" xr3:uid="{C8EE00EE-FBE9-40F2-AED3-28C80DEBFBE0}" name="033422;COMBINADOS SRL" totalsRowFunction="custom" dataDxfId="47" totalsRowDxfId="46">
      <calculatedColumnFormula>IFERROR(INDEX(Volcado_Dist!$A:$ZZ, MATCH($B3, Volcado_Dist!$A:$A, 0), MATCH(C$2, Volcado_Dist!$1:$1, 0)) / SUM(INDEX(Volcado_Dist!$A:$ZZ, 0, MATCH(C$2, Volcado_Dist!$1:$1, 0))), 0)</calculatedColumnFormula>
      <totalsRowFormula>SUM(C3:C128)</totalsRowFormula>
    </tableColumn>
    <tableColumn id="3" xr3:uid="{A3669211-3F98-432F-859A-4B759BE86C29}" name="033613;CORREA GULARTE KATIA" totalsRowFunction="custom" dataDxfId="45" totalsRowDxfId="44">
      <calculatedColumnFormula>IFERROR(INDEX(Volcado_Dist!$A:$ZZ, MATCH($B3, Volcado_Dist!$A:$A, 0), MATCH(D$2, Volcado_Dist!$1:$1, 0)) / SUM(INDEX(Volcado_Dist!$A:$ZZ, 0, MATCH(D$2, Volcado_Dist!$1:$1, 0))), 0)</calculatedColumnFormula>
      <totalsRowFormula>SUM(D3:D128)</totalsRowFormula>
    </tableColumn>
    <tableColumn id="4" xr3:uid="{5DA956C7-D9EB-4B23-A3C0-44F31B7B53BB}" name="033897;BUGAIOV AZURICA ALVARO MARTIN" totalsRowFunction="custom" dataDxfId="43" totalsRowDxfId="42">
      <calculatedColumnFormula>IFERROR(INDEX(Volcado_Dist!$A:$ZZ, MATCH($B3, Volcado_Dist!$A:$A, 0), MATCH(E$2, Volcado_Dist!$1:$1, 0)) / SUM(INDEX(Volcado_Dist!$A:$ZZ, 0, MATCH(E$2, Volcado_Dist!$1:$1, 0))), 0)</calculatedColumnFormula>
      <totalsRowFormula>SUM(E3:E128)</totalsRowFormula>
    </tableColumn>
    <tableColumn id="5" xr3:uid="{AA25A39F-2511-442F-A76B-385BE6ED070B}" name="035244;RINAKOLL S.A." totalsRowFunction="custom" dataDxfId="41" totalsRowDxfId="40">
      <calculatedColumnFormula>IFERROR(INDEX(Volcado_Dist!$A:$ZZ, MATCH($B3, Volcado_Dist!$A:$A, 0), MATCH(F$2, Volcado_Dist!$1:$1, 0)) / SUM(INDEX(Volcado_Dist!$A:$ZZ, 0, MATCH(F$2, Volcado_Dist!$1:$1, 0))), 0)</calculatedColumnFormula>
      <totalsRowFormula>SUM(F3:F128)</totalsRowFormula>
    </tableColumn>
    <tableColumn id="6" xr3:uid="{FBCDE3AB-3A90-4906-B876-8B9333135C67}" name="035572;PEREZ MAUTINO OSCAR SEBASTIAN" totalsRowFunction="custom" dataDxfId="39" totalsRowDxfId="38">
      <calculatedColumnFormula>IFERROR(INDEX(Volcado_Dist!$A:$ZZ, MATCH($B3, Volcado_Dist!$A:$A, 0), MATCH(G$2, Volcado_Dist!$1:$1, 0)) / SUM(INDEX(Volcado_Dist!$A:$ZZ, 0, MATCH(G$2, Volcado_Dist!$1:$1, 0))), 0)</calculatedColumnFormula>
      <totalsRowFormula>SUM(G3:G128)</totalsRowFormula>
    </tableColumn>
    <tableColumn id="7" xr3:uid="{492032A4-9AB4-49C2-929D-DAEC79AC3554}" name="036380;LASA ANDRES" totalsRowFunction="custom" dataDxfId="37" totalsRowDxfId="36">
      <calculatedColumnFormula>IFERROR(INDEX(Volcado_Dist!$A:$ZZ, MATCH($B3, Volcado_Dist!$A:$A, 0), MATCH(H$2, Volcado_Dist!$1:$1, 0)) / SUM(INDEX(Volcado_Dist!$A:$ZZ, 0, MATCH(H$2, Volcado_Dist!$1:$1, 0))), 0)</calculatedColumnFormula>
      <totalsRowFormula>SUM(H3:H128)</totalsRowFormula>
    </tableColumn>
    <tableColumn id="8" xr3:uid="{F5C72134-5A3B-4450-96E2-EF4FB0F75687}" name="036512;AGUILERA FERNANDO" totalsRowFunction="custom" dataDxfId="35" totalsRowDxfId="34">
      <calculatedColumnFormula>IFERROR(INDEX(Volcado_Dist!$A:$ZZ, MATCH($B3, Volcado_Dist!$A:$A, 0), MATCH(I$2, Volcado_Dist!$1:$1, 0)) / SUM(INDEX(Volcado_Dist!$A:$ZZ, 0, MATCH(I$2, Volcado_Dist!$1:$1, 0))), 0)</calculatedColumnFormula>
      <totalsRowFormula>SUM(I3:I128)</totalsRowFormula>
    </tableColumn>
    <tableColumn id="9" xr3:uid="{E1C24D0F-75F9-4D52-8ECC-100373ED2A10}" name="036565;ANIBAL VAZQUEZ S.A." totalsRowFunction="custom" dataDxfId="33" totalsRowDxfId="32">
      <calculatedColumnFormula>IFERROR(INDEX(Volcado_Dist!$A:$ZZ, MATCH($B3, Volcado_Dist!$A:$A, 0), MATCH(J$2, Volcado_Dist!$1:$1, 0)) / SUM(INDEX(Volcado_Dist!$A:$ZZ, 0, MATCH(J$2, Volcado_Dist!$1:$1, 0))), 0)</calculatedColumnFormula>
      <totalsRowFormula>SUM(J3:J128)</totalsRowFormula>
    </tableColumn>
    <tableColumn id="10" xr3:uid="{DCD41C55-F8B0-46F8-84E9-6585B275BCE0}" name="036633;GRUPOPANAL SAS" totalsRowFunction="custom" dataDxfId="31" totalsRowDxfId="30">
      <calculatedColumnFormula>IFERROR(INDEX(Volcado_Dist!$A:$ZZ, MATCH($B3, Volcado_Dist!$A:$A, 0), MATCH(K$2, Volcado_Dist!$1:$1, 0)) / SUM(INDEX(Volcado_Dist!$A:$ZZ, 0, MATCH(K$2, Volcado_Dist!$1:$1, 0))), 0)</calculatedColumnFormula>
      <totalsRowFormula>SUM(K3:K128)</totalsRowFormula>
    </tableColumn>
    <tableColumn id="11" xr3:uid="{E4B8A87E-7064-4DA3-8894-0EAC6B907142}" name="036636;LEIZA HERMAN WILSON RAUL" totalsRowFunction="custom" dataDxfId="29" totalsRowDxfId="28">
      <calculatedColumnFormula>IFERROR(INDEX(Volcado_Dist!$A:$ZZ, MATCH($B3, Volcado_Dist!$A:$A, 0), MATCH(L$2, Volcado_Dist!$1:$1, 0)) / SUM(INDEX(Volcado_Dist!$A:$ZZ, 0, MATCH(L$2, Volcado_Dist!$1:$1, 0))), 0)</calculatedColumnFormula>
      <totalsRowFormula>SUM(L3:L128)</totalsRowFormula>
    </tableColumn>
    <tableColumn id="12" xr3:uid="{7A81616E-B940-412C-987A-7F98FABF290F}" name="036781;DARDY S.A." totalsRowFunction="custom" dataDxfId="27" totalsRowDxfId="26">
      <calculatedColumnFormula>IFERROR(INDEX(Volcado_Dist!$A:$ZZ, MATCH($B3, Volcado_Dist!$A:$A, 0), MATCH(M$2, Volcado_Dist!$1:$1, 0)) / SUM(INDEX(Volcado_Dist!$A:$ZZ, 0, MATCH(M$2, Volcado_Dist!$1:$1, 0))), 0)</calculatedColumnFormula>
      <totalsRowFormula>SUM(M3:M128)</totalsRowFormula>
    </tableColumn>
    <tableColumn id="13" xr3:uid="{4F09B331-AFB5-4BE5-B1F6-10F219BD7529}" name="036991;CAMPOFRIO SRL" totalsRowFunction="custom" dataDxfId="25" totalsRowDxfId="24">
      <calculatedColumnFormula>IFERROR(INDEX(Volcado_Dist!$A:$ZZ, MATCH($B3, Volcado_Dist!$A:$A, 0), MATCH(N$2, Volcado_Dist!$1:$1, 0)) / SUM(INDEX(Volcado_Dist!$A:$ZZ, 0, MATCH(N$2, Volcado_Dist!$1:$1, 0))), 0)</calculatedColumnFormula>
      <totalsRowFormula>SUM(N3:N128)</totalsRowFormula>
    </tableColumn>
    <tableColumn id="14" xr3:uid="{D4452AFD-252C-4DFF-8C7F-9BCDF729F526}" name="037040;GORMAT S.A." totalsRowFunction="custom" dataDxfId="23" totalsRowDxfId="22">
      <calculatedColumnFormula>IFERROR(INDEX(Volcado_Dist!$A:$ZZ, MATCH($B3, Volcado_Dist!$A:$A, 0), MATCH(O$2, Volcado_Dist!$1:$1, 0)) / SUM(INDEX(Volcado_Dist!$A:$ZZ, 0, MATCH(O$2, Volcado_Dist!$1:$1, 0))), 0)</calculatedColumnFormula>
      <totalsRowFormula>SUM(O3:O128)</totalsRowFormula>
    </tableColumn>
    <tableColumn id="15" xr3:uid="{9B9E82DE-6CCE-48C9-9DF3-9D7C219B8A11}" name="037175;MATTEO BRITOS GONZALO FEDERICO" totalsRowFunction="custom" dataDxfId="21" totalsRowDxfId="20">
      <calculatedColumnFormula>IFERROR(INDEX(Volcado_Dist!$A:$ZZ, MATCH($B3, Volcado_Dist!$A:$A, 0), MATCH(P$2, Volcado_Dist!$1:$1, 0)) / SUM(INDEX(Volcado_Dist!$A:$ZZ, 0, MATCH(P$2, Volcado_Dist!$1:$1, 0))), 0)</calculatedColumnFormula>
      <totalsRowFormula>SUM(P3:P128)</totalsRowFormula>
    </tableColumn>
    <tableColumn id="16" xr3:uid="{CC98FCF7-8AF8-4EDE-8867-E0FE9430338A}" name="037218;VAMOS QUE VAMOS S EN C" totalsRowFunction="custom" dataDxfId="19" totalsRowDxfId="18">
      <calculatedColumnFormula>IFERROR(INDEX(Volcado_Dist!$A:$ZZ, MATCH($B3, Volcado_Dist!$A:$A, 0), MATCH(Q$2, Volcado_Dist!$1:$1, 0)) / SUM(INDEX(Volcado_Dist!$A:$ZZ, 0, MATCH(Q$2, Volcado_Dist!$1:$1, 0))), 0)</calculatedColumnFormula>
      <totalsRowFormula>SUM(Q3:Q128)</totalsRowFormula>
    </tableColumn>
    <tableColumn id="17" xr3:uid="{F9CB9653-7907-4335-A3A9-77998132A3A7}" name="037290;CAMPO URBANO SRL" totalsRowFunction="custom" dataDxfId="17" totalsRowDxfId="16">
      <calculatedColumnFormula>IFERROR(INDEX(Volcado_Dist!$A:$ZZ, MATCH($B3, Volcado_Dist!$A:$A, 0), MATCH(R$2, Volcado_Dist!$1:$1, 0)) / SUM(INDEX(Volcado_Dist!$A:$ZZ, 0, MATCH(R$2, Volcado_Dist!$1:$1, 0))), 0)</calculatedColumnFormula>
      <totalsRowFormula>SUM(R3:R128)</totalsRowFormula>
    </tableColumn>
    <tableColumn id="18" xr3:uid="{4FC76375-AC75-488A-917C-6CE93A352499}" name="037606;BAINEPES S.A." totalsRowFunction="custom" dataDxfId="15" totalsRowDxfId="14">
      <calculatedColumnFormula>IFERROR(INDEX(Volcado_Dist!$A:$ZZ, MATCH($B3, Volcado_Dist!$A:$A, 0), MATCH(S$2, Volcado_Dist!$1:$1, 0)) / SUM(INDEX(Volcado_Dist!$A:$ZZ, 0, MATCH(S$2, Volcado_Dist!$1:$1, 0))), 0)</calculatedColumnFormula>
      <totalsRowFormula>SUM(S3:S128)</totalsRowFormula>
    </tableColumn>
    <tableColumn id="19" xr3:uid="{365363E6-7781-4664-944B-DC325A4DC62B}" name="037833;LEAL DISTRIBUCION SAS" totalsRowFunction="custom" dataDxfId="13" totalsRowDxfId="12">
      <calculatedColumnFormula>IFERROR(INDEX(Volcado_Dist!$A:$ZZ, MATCH($B3, Volcado_Dist!$A:$A, 0), MATCH(T$2, Volcado_Dist!$1:$1, 0)) / SUM(INDEX(Volcado_Dist!$A:$ZZ, 0, MATCH(T$2, Volcado_Dist!$1:$1, 0))), 0)</calculatedColumnFormula>
      <totalsRowFormula>SUM(T3:T128)</totalsRowFormula>
    </tableColumn>
    <tableColumn id="20" xr3:uid="{CD0BEAF7-993F-43EB-9567-660890617D67}" name="038092;DISTRIBUIDORA SCAGNEGATTI SAS" totalsRowFunction="custom" dataDxfId="11" totalsRowDxfId="10">
      <calculatedColumnFormula>IFERROR(INDEX(Volcado_Dist!$A:$ZZ, MATCH($B3, Volcado_Dist!$A:$A, 0), MATCH(U$2, Volcado_Dist!$1:$1, 0)) / SUM(INDEX(Volcado_Dist!$A:$ZZ, 0, MATCH(U$2, Volcado_Dist!$1:$1, 0))), 0)</calculatedColumnFormula>
      <totalsRowFormula>SUM(U3:U128)</totalsRowFormula>
    </tableColumn>
    <tableColumn id="21" xr3:uid="{50F1EE60-AB98-46A9-B28F-51F2214BCD76}" name="038513;GARCIA RIEIRO NICOLAS" totalsRowFunction="custom" dataDxfId="9" totalsRowDxfId="8">
      <calculatedColumnFormula>IFERROR(INDEX(Volcado_Dist!$A:$ZZ, MATCH($B3, Volcado_Dist!$A:$A, 0), MATCH(V$2, Volcado_Dist!$1:$1, 0)) / SUM(INDEX(Volcado_Dist!$A:$ZZ, 0, MATCH(V$2, Volcado_Dist!$1:$1, 0))), 0)</calculatedColumnFormula>
      <totalsRowFormula>SUM(V3:V128)</totalsRowFormula>
    </tableColumn>
    <tableColumn id="22" xr3:uid="{815BC28F-79F2-4053-BF4A-2E93FCA37A90}" name="PROMEDIO DISTRIBUIDORES" totalsRowFunction="custom" dataDxfId="7" totalsRowDxfId="6">
      <calculatedColumnFormula>AVERAGE(C3:V3)</calculatedColumnFormula>
      <totalsRowFormula>SUM(W3:W128)</totalsRowFormula>
    </tableColumn>
    <tableColumn id="23" xr3:uid="{A3AB42B3-9FB8-406F-85F4-BC1EE8F70F3C}" name="PORCENTAJE VENDEDORES MVD TRAD" totalsRowFunction="custom" dataDxfId="5" totalsRowDxfId="4">
      <calculatedColumnFormula>IFERROR(SUM(_xlfn.XLOOKUP($B3, Volcado_Vend!$A:$A, Volcado_Vend!$C:$ZZ, 0)) / SUM(Volcado_Vend!$C:$ZZ), 0)</calculatedColumnFormula>
      <totalsRowFormula>SUM(X3:X128)</totalsRowFormula>
    </tableColumn>
    <tableColumn id="24" xr3:uid="{3DD9DEF4-B22E-4F19-A2F0-DC7C3A6EDF11}" name="PROMEDIO TOTAL" dataDxfId="3" totalsRowDxfId="2">
      <calculatedColumnFormula>AVERAGE(W3:X3)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BD1C-5B87-49F3-945C-191949876583}">
  <dimension ref="A1:I131"/>
  <sheetViews>
    <sheetView topLeftCell="A109" workbookViewId="0">
      <selection activeCell="A132" sqref="A132"/>
    </sheetView>
  </sheetViews>
  <sheetFormatPr baseColWidth="10" defaultColWidth="9.140625" defaultRowHeight="15" x14ac:dyDescent="0.25"/>
  <cols>
    <col min="1" max="1" width="23.28515625" bestFit="1" customWidth="1"/>
    <col min="2" max="2" width="7.28515625" bestFit="1" customWidth="1"/>
    <col min="3" max="3" width="30.7109375" bestFit="1" customWidth="1"/>
    <col min="4" max="4" width="31.140625" bestFit="1" customWidth="1"/>
    <col min="5" max="5" width="35.85546875" bestFit="1" customWidth="1"/>
    <col min="6" max="6" width="32.7109375" bestFit="1" customWidth="1"/>
    <col min="7" max="7" width="35.5703125" bestFit="1" customWidth="1"/>
    <col min="8" max="8" width="11.140625" bestFit="1" customWidth="1"/>
    <col min="9" max="9" width="35" bestFit="1" customWidth="1"/>
  </cols>
  <sheetData>
    <row r="1" spans="1:9" ht="12.95" customHeight="1" x14ac:dyDescent="0.25">
      <c r="C1" s="1" t="s">
        <v>0</v>
      </c>
      <c r="D1" s="1" t="s">
        <v>155</v>
      </c>
    </row>
    <row r="2" spans="1:9" ht="12.95" customHeight="1" x14ac:dyDescent="0.25">
      <c r="C2" s="1" t="s">
        <v>0</v>
      </c>
      <c r="D2" s="1" t="s">
        <v>155</v>
      </c>
    </row>
    <row r="3" spans="1:9" ht="12.95" customHeight="1" x14ac:dyDescent="0.25">
      <c r="A3" s="1" t="s">
        <v>26</v>
      </c>
      <c r="B3" s="1" t="s">
        <v>24</v>
      </c>
      <c r="C3" s="9" t="s">
        <v>23</v>
      </c>
      <c r="D3" s="9"/>
      <c r="E3" s="9"/>
      <c r="F3" s="9"/>
      <c r="G3" s="9"/>
      <c r="H3" s="9"/>
      <c r="I3" s="9"/>
    </row>
    <row r="4" spans="1:9" ht="12.95" customHeight="1" x14ac:dyDescent="0.25">
      <c r="A4" s="1" t="s">
        <v>26</v>
      </c>
      <c r="B4" s="1" t="s">
        <v>25</v>
      </c>
      <c r="C4" s="8" t="s">
        <v>156</v>
      </c>
      <c r="D4" s="8" t="s">
        <v>157</v>
      </c>
      <c r="E4" s="8" t="s">
        <v>158</v>
      </c>
      <c r="F4" s="8" t="s">
        <v>159</v>
      </c>
      <c r="G4" s="8" t="s">
        <v>160</v>
      </c>
      <c r="H4" s="8" t="s">
        <v>163</v>
      </c>
      <c r="I4" s="8" t="s">
        <v>164</v>
      </c>
    </row>
    <row r="5" spans="1:9" ht="15" customHeight="1" x14ac:dyDescent="0.25">
      <c r="A5" s="8" t="s">
        <v>27</v>
      </c>
      <c r="B5" s="8" t="s">
        <v>153</v>
      </c>
      <c r="C5" s="4">
        <v>956.25</v>
      </c>
      <c r="D5" s="4">
        <v>8476.5</v>
      </c>
      <c r="E5" s="4">
        <v>605.25</v>
      </c>
      <c r="F5" s="4">
        <v>6200.25</v>
      </c>
      <c r="G5" s="4">
        <v>1650</v>
      </c>
      <c r="H5" s="5">
        <f>SUM(C5:G5)</f>
        <v>17888.25</v>
      </c>
      <c r="I5" s="7">
        <f>H5/$H$131</f>
        <v>1.3042044634250735E-4</v>
      </c>
    </row>
    <row r="6" spans="1:9" ht="15" customHeight="1" x14ac:dyDescent="0.25">
      <c r="A6" s="8" t="s">
        <v>28</v>
      </c>
      <c r="B6" s="8" t="s">
        <v>153</v>
      </c>
      <c r="C6" s="4">
        <v>33904.820000000007</v>
      </c>
      <c r="D6" s="4">
        <v>46699.07</v>
      </c>
      <c r="E6" s="4">
        <v>7664.93</v>
      </c>
      <c r="F6" s="4">
        <v>347116.41</v>
      </c>
      <c r="G6" s="4">
        <v>369422.6</v>
      </c>
      <c r="H6" s="5">
        <f t="shared" ref="H6:H69" si="0">SUM(C6:G6)</f>
        <v>804807.83</v>
      </c>
      <c r="I6" s="7">
        <f t="shared" ref="I6:I69" si="1">H6/$H$131</f>
        <v>5.8677286156300799E-3</v>
      </c>
    </row>
    <row r="7" spans="1:9" ht="15" customHeight="1" x14ac:dyDescent="0.25">
      <c r="A7" s="8" t="s">
        <v>29</v>
      </c>
      <c r="B7" s="8" t="s">
        <v>153</v>
      </c>
      <c r="C7" s="4">
        <v>33341.35</v>
      </c>
      <c r="D7" s="4">
        <v>51680.959999999992</v>
      </c>
      <c r="E7" s="4">
        <v>-575.70000000000005</v>
      </c>
      <c r="F7" s="4">
        <v>27238.5</v>
      </c>
      <c r="G7" s="4">
        <v>28212</v>
      </c>
      <c r="H7" s="5">
        <f t="shared" si="0"/>
        <v>139897.10999999999</v>
      </c>
      <c r="I7" s="7">
        <f t="shared" si="1"/>
        <v>1.0199680532319733E-3</v>
      </c>
    </row>
    <row r="8" spans="1:9" ht="15" customHeight="1" x14ac:dyDescent="0.25">
      <c r="A8" s="8" t="s">
        <v>30</v>
      </c>
      <c r="B8" s="8" t="s">
        <v>153</v>
      </c>
      <c r="C8" s="4">
        <v>781.8</v>
      </c>
      <c r="D8" s="4">
        <v>9844.5999999999985</v>
      </c>
      <c r="E8" s="4">
        <v>1395</v>
      </c>
      <c r="F8" s="4">
        <v>6716.7800000000007</v>
      </c>
      <c r="G8" s="4">
        <v>17564.400000000001</v>
      </c>
      <c r="H8" s="5">
        <f t="shared" si="0"/>
        <v>36302.58</v>
      </c>
      <c r="I8" s="7">
        <f t="shared" si="1"/>
        <v>2.6467646007768123E-4</v>
      </c>
    </row>
    <row r="9" spans="1:9" ht="15" customHeight="1" x14ac:dyDescent="0.25">
      <c r="A9" s="8" t="s">
        <v>161</v>
      </c>
      <c r="B9" s="8" t="s">
        <v>153</v>
      </c>
      <c r="C9" s="4">
        <v>19952.460000000003</v>
      </c>
      <c r="D9" s="4">
        <v>0</v>
      </c>
      <c r="E9" s="4">
        <v>0</v>
      </c>
      <c r="F9" s="4">
        <v>0</v>
      </c>
      <c r="G9" s="4">
        <v>9979.92</v>
      </c>
      <c r="H9" s="5">
        <f t="shared" si="0"/>
        <v>29932.380000000005</v>
      </c>
      <c r="I9" s="7">
        <f t="shared" si="1"/>
        <v>2.1823232343541379E-4</v>
      </c>
    </row>
    <row r="10" spans="1:9" ht="15" customHeight="1" x14ac:dyDescent="0.25">
      <c r="A10" s="8" t="s">
        <v>31</v>
      </c>
      <c r="B10" s="8" t="s">
        <v>153</v>
      </c>
      <c r="C10" s="4">
        <v>9945.2000000000007</v>
      </c>
      <c r="D10" s="4">
        <v>8924.4</v>
      </c>
      <c r="E10" s="4">
        <v>0</v>
      </c>
      <c r="F10" s="4">
        <v>0</v>
      </c>
      <c r="G10" s="4">
        <v>5384.78</v>
      </c>
      <c r="H10" s="5">
        <f t="shared" si="0"/>
        <v>24254.379999999997</v>
      </c>
      <c r="I10" s="7">
        <f t="shared" si="1"/>
        <v>1.7683490924829334E-4</v>
      </c>
    </row>
    <row r="11" spans="1:9" ht="15" customHeight="1" x14ac:dyDescent="0.25">
      <c r="A11" s="8" t="s">
        <v>32</v>
      </c>
      <c r="B11" s="8" t="s">
        <v>153</v>
      </c>
      <c r="C11" s="4">
        <v>39872.589999999989</v>
      </c>
      <c r="D11" s="4">
        <v>87750.51999999999</v>
      </c>
      <c r="E11" s="4">
        <v>12257.850000000002</v>
      </c>
      <c r="F11" s="4">
        <v>333093.75000000006</v>
      </c>
      <c r="G11" s="4">
        <v>131228.06000000003</v>
      </c>
      <c r="H11" s="5">
        <f t="shared" si="0"/>
        <v>604202.77000000014</v>
      </c>
      <c r="I11" s="7">
        <f t="shared" si="1"/>
        <v>4.4051483484845826E-3</v>
      </c>
    </row>
    <row r="12" spans="1:9" ht="15" customHeight="1" x14ac:dyDescent="0.25">
      <c r="A12" s="8" t="s">
        <v>33</v>
      </c>
      <c r="B12" s="8" t="s">
        <v>153</v>
      </c>
      <c r="C12" s="4">
        <v>0</v>
      </c>
      <c r="D12" s="4">
        <v>2700.13</v>
      </c>
      <c r="E12" s="4">
        <v>716673.83</v>
      </c>
      <c r="F12" s="4">
        <v>124037.45</v>
      </c>
      <c r="G12" s="4">
        <v>184121.44999999998</v>
      </c>
      <c r="H12" s="5">
        <f t="shared" si="0"/>
        <v>1027532.8599999999</v>
      </c>
      <c r="I12" s="7">
        <f t="shared" si="1"/>
        <v>7.4915821409468845E-3</v>
      </c>
    </row>
    <row r="13" spans="1:9" ht="15" customHeight="1" x14ac:dyDescent="0.25">
      <c r="A13" s="8" t="s">
        <v>34</v>
      </c>
      <c r="B13" s="8" t="s">
        <v>153</v>
      </c>
      <c r="C13" s="4">
        <v>10665.130000000001</v>
      </c>
      <c r="D13" s="4">
        <v>25694.089999999997</v>
      </c>
      <c r="E13" s="4">
        <v>225080.41</v>
      </c>
      <c r="F13" s="4">
        <v>236222.49999999997</v>
      </c>
      <c r="G13" s="4">
        <v>57114.810000000012</v>
      </c>
      <c r="H13" s="5">
        <f t="shared" si="0"/>
        <v>554776.94000000006</v>
      </c>
      <c r="I13" s="7">
        <f t="shared" si="1"/>
        <v>4.0447923153651378E-3</v>
      </c>
    </row>
    <row r="14" spans="1:9" ht="15" customHeight="1" x14ac:dyDescent="0.25">
      <c r="A14" s="8" t="s">
        <v>35</v>
      </c>
      <c r="B14" s="8" t="s">
        <v>153</v>
      </c>
      <c r="C14" s="4">
        <v>108.89999999999998</v>
      </c>
      <c r="D14" s="4">
        <v>90.100000000000023</v>
      </c>
      <c r="E14" s="4">
        <v>-1493.1000000000001</v>
      </c>
      <c r="F14" s="4">
        <v>0</v>
      </c>
      <c r="G14" s="4">
        <v>-189.6</v>
      </c>
      <c r="H14" s="5">
        <f t="shared" si="0"/>
        <v>-1483.7</v>
      </c>
      <c r="I14" s="7">
        <f t="shared" si="1"/>
        <v>-1.0817425753686256E-5</v>
      </c>
    </row>
    <row r="15" spans="1:9" ht="15" customHeight="1" x14ac:dyDescent="0.25">
      <c r="A15" s="8" t="s">
        <v>36</v>
      </c>
      <c r="B15" s="8" t="s">
        <v>153</v>
      </c>
      <c r="C15" s="4">
        <v>32354.079999999994</v>
      </c>
      <c r="D15" s="4">
        <v>36490.559999999998</v>
      </c>
      <c r="E15" s="4">
        <v>5539.7499999999991</v>
      </c>
      <c r="F15" s="4">
        <v>70436.14</v>
      </c>
      <c r="G15" s="4">
        <v>60889.039999999986</v>
      </c>
      <c r="H15" s="5">
        <f t="shared" si="0"/>
        <v>205709.56999999995</v>
      </c>
      <c r="I15" s="7">
        <f t="shared" si="1"/>
        <v>1.4997964550095876E-3</v>
      </c>
    </row>
    <row r="16" spans="1:9" ht="15" customHeight="1" x14ac:dyDescent="0.25">
      <c r="A16" s="8" t="s">
        <v>37</v>
      </c>
      <c r="B16" s="8" t="s">
        <v>153</v>
      </c>
      <c r="C16" s="4">
        <v>97158.840000000026</v>
      </c>
      <c r="D16" s="4">
        <v>206364.53000000003</v>
      </c>
      <c r="E16" s="4">
        <v>178336.08000000005</v>
      </c>
      <c r="F16" s="4">
        <v>334722.35000000003</v>
      </c>
      <c r="G16" s="4">
        <v>243753.75999999998</v>
      </c>
      <c r="H16" s="5">
        <f t="shared" si="0"/>
        <v>1060335.56</v>
      </c>
      <c r="I16" s="7">
        <f t="shared" si="1"/>
        <v>7.7307415207207245E-3</v>
      </c>
    </row>
    <row r="17" spans="1:9" ht="15" customHeight="1" x14ac:dyDescent="0.25">
      <c r="A17" s="8" t="s">
        <v>38</v>
      </c>
      <c r="B17" s="8" t="s">
        <v>153</v>
      </c>
      <c r="C17" s="4">
        <v>40484.18</v>
      </c>
      <c r="D17" s="4">
        <v>43416.630000000005</v>
      </c>
      <c r="E17" s="4">
        <v>25468.510000000002</v>
      </c>
      <c r="F17" s="4">
        <v>49793.350000000006</v>
      </c>
      <c r="G17" s="4">
        <v>97153.479999999981</v>
      </c>
      <c r="H17" s="5">
        <f t="shared" si="0"/>
        <v>256316.15</v>
      </c>
      <c r="I17" s="7">
        <f t="shared" si="1"/>
        <v>1.8687611525886024E-3</v>
      </c>
    </row>
    <row r="18" spans="1:9" ht="15" customHeight="1" x14ac:dyDescent="0.25">
      <c r="A18" s="8" t="s">
        <v>39</v>
      </c>
      <c r="B18" s="8" t="s">
        <v>153</v>
      </c>
      <c r="C18" s="4">
        <v>42621.989999999983</v>
      </c>
      <c r="D18" s="4">
        <v>30505.18</v>
      </c>
      <c r="E18" s="4">
        <v>77887.509999999995</v>
      </c>
      <c r="F18" s="4">
        <v>445629.56000000006</v>
      </c>
      <c r="G18" s="4">
        <v>77047.070000000007</v>
      </c>
      <c r="H18" s="5">
        <f t="shared" si="0"/>
        <v>673691.31</v>
      </c>
      <c r="I18" s="7">
        <f t="shared" si="1"/>
        <v>4.9117784773395103E-3</v>
      </c>
    </row>
    <row r="19" spans="1:9" ht="15" customHeight="1" x14ac:dyDescent="0.25">
      <c r="A19" s="8" t="s">
        <v>40</v>
      </c>
      <c r="B19" s="8" t="s">
        <v>153</v>
      </c>
      <c r="C19" s="4">
        <v>0</v>
      </c>
      <c r="D19" s="4">
        <v>-4480</v>
      </c>
      <c r="E19" s="4">
        <v>0</v>
      </c>
      <c r="F19" s="4">
        <v>2992.0000000000005</v>
      </c>
      <c r="G19" s="4">
        <v>-8780.7999999999993</v>
      </c>
      <c r="H19" s="5">
        <f t="shared" si="0"/>
        <v>-10268.799999999999</v>
      </c>
      <c r="I19" s="7">
        <f t="shared" si="1"/>
        <v>-7.4868222403082444E-5</v>
      </c>
    </row>
    <row r="20" spans="1:9" ht="15" customHeight="1" x14ac:dyDescent="0.25">
      <c r="A20" s="8" t="s">
        <v>41</v>
      </c>
      <c r="B20" s="8" t="s">
        <v>153</v>
      </c>
      <c r="C20" s="4">
        <v>82603.300000000017</v>
      </c>
      <c r="D20" s="4">
        <v>105750.04999999997</v>
      </c>
      <c r="E20" s="4">
        <v>79486.099999999991</v>
      </c>
      <c r="F20" s="4">
        <v>330957.8</v>
      </c>
      <c r="G20" s="4">
        <v>230855.91999999998</v>
      </c>
      <c r="H20" s="5">
        <f t="shared" si="0"/>
        <v>829653.16999999993</v>
      </c>
      <c r="I20" s="7">
        <f t="shared" si="1"/>
        <v>6.0488721222520993E-3</v>
      </c>
    </row>
    <row r="21" spans="1:9" ht="15" customHeight="1" x14ac:dyDescent="0.25">
      <c r="A21" s="8" t="s">
        <v>42</v>
      </c>
      <c r="B21" s="8" t="s">
        <v>153</v>
      </c>
      <c r="C21" s="4">
        <v>85224.909999999974</v>
      </c>
      <c r="D21" s="4">
        <v>320959.92000000004</v>
      </c>
      <c r="E21" s="4">
        <v>400420.44000000018</v>
      </c>
      <c r="F21" s="4">
        <v>276351.30000000016</v>
      </c>
      <c r="G21" s="4">
        <v>357295.71999999986</v>
      </c>
      <c r="H21" s="5">
        <f t="shared" si="0"/>
        <v>1440252.29</v>
      </c>
      <c r="I21" s="7">
        <f t="shared" si="1"/>
        <v>1.0500655262958554E-2</v>
      </c>
    </row>
    <row r="22" spans="1:9" ht="15" customHeight="1" x14ac:dyDescent="0.25">
      <c r="A22" s="8" t="s">
        <v>43</v>
      </c>
      <c r="B22" s="8" t="s">
        <v>153</v>
      </c>
      <c r="C22" s="4">
        <v>192407.09</v>
      </c>
      <c r="D22" s="4">
        <v>25660.799999999999</v>
      </c>
      <c r="E22" s="4">
        <v>720.1</v>
      </c>
      <c r="F22" s="4">
        <v>7772</v>
      </c>
      <c r="G22" s="4">
        <v>23874.000000000004</v>
      </c>
      <c r="H22" s="5">
        <f t="shared" si="0"/>
        <v>250433.99</v>
      </c>
      <c r="I22" s="7">
        <f t="shared" si="1"/>
        <v>1.825875239620143E-3</v>
      </c>
    </row>
    <row r="23" spans="1:9" ht="15" customHeight="1" x14ac:dyDescent="0.25">
      <c r="A23" s="8" t="s">
        <v>44</v>
      </c>
      <c r="B23" s="8" t="s">
        <v>153</v>
      </c>
      <c r="C23" s="4">
        <v>68463.840000000011</v>
      </c>
      <c r="D23" s="4">
        <v>380957.22</v>
      </c>
      <c r="E23" s="4">
        <v>822602.55000000028</v>
      </c>
      <c r="F23" s="4">
        <v>470109.61</v>
      </c>
      <c r="G23" s="4">
        <v>512517.65000000008</v>
      </c>
      <c r="H23" s="5">
        <f t="shared" si="0"/>
        <v>2254650.87</v>
      </c>
      <c r="I23" s="7">
        <f t="shared" si="1"/>
        <v>1.6438308543984041E-2</v>
      </c>
    </row>
    <row r="24" spans="1:9" ht="15" customHeight="1" x14ac:dyDescent="0.25">
      <c r="A24" s="8" t="s">
        <v>45</v>
      </c>
      <c r="B24" s="8" t="s">
        <v>153</v>
      </c>
      <c r="C24" s="4">
        <v>25448.290000000005</v>
      </c>
      <c r="D24" s="4">
        <v>134312.54999999999</v>
      </c>
      <c r="E24" s="4">
        <v>56391.72</v>
      </c>
      <c r="F24" s="4">
        <v>256366.91999999995</v>
      </c>
      <c r="G24" s="4">
        <v>114334.02999999998</v>
      </c>
      <c r="H24" s="5">
        <f t="shared" si="0"/>
        <v>586853.51</v>
      </c>
      <c r="I24" s="7">
        <f t="shared" si="1"/>
        <v>4.2786575943352259E-3</v>
      </c>
    </row>
    <row r="25" spans="1:9" ht="15" customHeight="1" x14ac:dyDescent="0.25">
      <c r="A25" s="8" t="s">
        <v>46</v>
      </c>
      <c r="B25" s="8" t="s">
        <v>153</v>
      </c>
      <c r="C25" s="4">
        <v>8593.36</v>
      </c>
      <c r="D25" s="4">
        <v>5305.6500000000005</v>
      </c>
      <c r="E25" s="4">
        <v>7986.9999999999991</v>
      </c>
      <c r="F25" s="4">
        <v>63053.559999999983</v>
      </c>
      <c r="G25" s="4">
        <v>6389.6000000000013</v>
      </c>
      <c r="H25" s="5">
        <f t="shared" si="0"/>
        <v>91329.169999999984</v>
      </c>
      <c r="I25" s="7">
        <f t="shared" si="1"/>
        <v>6.6586676256708899E-4</v>
      </c>
    </row>
    <row r="26" spans="1:9" ht="15" customHeight="1" x14ac:dyDescent="0.25">
      <c r="A26" s="8" t="s">
        <v>47</v>
      </c>
      <c r="B26" s="8" t="s">
        <v>153</v>
      </c>
      <c r="C26" s="4">
        <v>0</v>
      </c>
      <c r="D26" s="4">
        <v>0</v>
      </c>
      <c r="E26" s="4">
        <v>0</v>
      </c>
      <c r="F26" s="4">
        <v>1243.55</v>
      </c>
      <c r="G26" s="4">
        <v>-1881.6000000000004</v>
      </c>
      <c r="H26" s="5">
        <f t="shared" si="0"/>
        <v>-638.05000000000041</v>
      </c>
      <c r="I26" s="7">
        <f t="shared" si="1"/>
        <v>-4.6519232339014084E-6</v>
      </c>
    </row>
    <row r="27" spans="1:9" ht="15" customHeight="1" x14ac:dyDescent="0.25">
      <c r="A27" s="8" t="s">
        <v>48</v>
      </c>
      <c r="B27" s="8" t="s">
        <v>153</v>
      </c>
      <c r="C27" s="4">
        <v>1350</v>
      </c>
      <c r="D27" s="4">
        <v>37146</v>
      </c>
      <c r="E27" s="4">
        <v>0</v>
      </c>
      <c r="F27" s="4">
        <v>44022.010000000009</v>
      </c>
      <c r="G27" s="4">
        <v>117057.29000000001</v>
      </c>
      <c r="H27" s="5">
        <f t="shared" si="0"/>
        <v>199575.30000000002</v>
      </c>
      <c r="I27" s="7">
        <f t="shared" si="1"/>
        <v>1.4550724472734791E-3</v>
      </c>
    </row>
    <row r="28" spans="1:9" ht="15" customHeight="1" x14ac:dyDescent="0.25">
      <c r="A28" s="8" t="s">
        <v>49</v>
      </c>
      <c r="B28" s="8" t="s">
        <v>153</v>
      </c>
      <c r="C28" s="4">
        <v>5932.5000000000009</v>
      </c>
      <c r="D28" s="4">
        <v>22446.32</v>
      </c>
      <c r="E28" s="4">
        <v>5940</v>
      </c>
      <c r="F28" s="4">
        <v>36712.92</v>
      </c>
      <c r="G28" s="4">
        <v>20656.68</v>
      </c>
      <c r="H28" s="5">
        <f t="shared" si="0"/>
        <v>91688.419999999984</v>
      </c>
      <c r="I28" s="7">
        <f t="shared" si="1"/>
        <v>6.6848599839779046E-4</v>
      </c>
    </row>
    <row r="29" spans="1:9" ht="15" customHeight="1" x14ac:dyDescent="0.25">
      <c r="A29" s="8" t="s">
        <v>50</v>
      </c>
      <c r="B29" s="8" t="s">
        <v>153</v>
      </c>
      <c r="C29" s="4">
        <v>256874.65000000011</v>
      </c>
      <c r="D29" s="4">
        <v>714193.32000000007</v>
      </c>
      <c r="E29" s="4">
        <v>601234.48999999964</v>
      </c>
      <c r="F29" s="4">
        <v>1395865.9699999995</v>
      </c>
      <c r="G29" s="4">
        <v>724307.64999999967</v>
      </c>
      <c r="H29" s="5">
        <f t="shared" si="0"/>
        <v>3692476.0799999991</v>
      </c>
      <c r="I29" s="7">
        <f t="shared" si="1"/>
        <v>2.6921268344451344E-2</v>
      </c>
    </row>
    <row r="30" spans="1:9" ht="15" customHeight="1" x14ac:dyDescent="0.25">
      <c r="A30" s="8" t="s">
        <v>51</v>
      </c>
      <c r="B30" s="8" t="s">
        <v>153</v>
      </c>
      <c r="C30" s="4">
        <v>15533.51</v>
      </c>
      <c r="D30" s="4">
        <v>18057.839999999997</v>
      </c>
      <c r="E30" s="4">
        <v>4971.42</v>
      </c>
      <c r="F30" s="4">
        <v>38485.47</v>
      </c>
      <c r="G30" s="4">
        <v>13783.83</v>
      </c>
      <c r="H30" s="5">
        <f t="shared" si="0"/>
        <v>90832.069999999992</v>
      </c>
      <c r="I30" s="7">
        <f t="shared" si="1"/>
        <v>6.6224248384352141E-4</v>
      </c>
    </row>
    <row r="31" spans="1:9" ht="15" customHeight="1" x14ac:dyDescent="0.25">
      <c r="A31" s="8" t="s">
        <v>52</v>
      </c>
      <c r="B31" s="8" t="s">
        <v>153</v>
      </c>
      <c r="C31" s="4">
        <v>396839.99</v>
      </c>
      <c r="D31" s="4">
        <v>479132.05000000005</v>
      </c>
      <c r="E31" s="4">
        <v>918976.61</v>
      </c>
      <c r="F31" s="4">
        <v>744195.86</v>
      </c>
      <c r="G31" s="4">
        <v>480332.10999999993</v>
      </c>
      <c r="H31" s="5">
        <f t="shared" si="0"/>
        <v>3019476.6199999996</v>
      </c>
      <c r="I31" s="7">
        <f t="shared" si="1"/>
        <v>2.2014534037771465E-2</v>
      </c>
    </row>
    <row r="32" spans="1:9" ht="15" customHeight="1" x14ac:dyDescent="0.25">
      <c r="A32" s="8" t="s">
        <v>53</v>
      </c>
      <c r="B32" s="8" t="s">
        <v>153</v>
      </c>
      <c r="C32" s="4">
        <v>38957.700000000004</v>
      </c>
      <c r="D32" s="4">
        <v>-42908.520000000004</v>
      </c>
      <c r="E32" s="4">
        <v>17670.16</v>
      </c>
      <c r="F32" s="4">
        <v>65660.490000000005</v>
      </c>
      <c r="G32" s="4">
        <v>41631.540000000008</v>
      </c>
      <c r="H32" s="5">
        <f t="shared" si="0"/>
        <v>121011.37000000001</v>
      </c>
      <c r="I32" s="7">
        <f t="shared" si="1"/>
        <v>8.8227506256443786E-4</v>
      </c>
    </row>
    <row r="33" spans="1:9" ht="15" customHeight="1" x14ac:dyDescent="0.25">
      <c r="A33" s="8" t="s">
        <v>54</v>
      </c>
      <c r="B33" s="8" t="s">
        <v>153</v>
      </c>
      <c r="C33" s="4">
        <v>13026.41</v>
      </c>
      <c r="D33" s="4">
        <v>5221.8700000000008</v>
      </c>
      <c r="E33" s="4">
        <v>6217.9500000000007</v>
      </c>
      <c r="F33" s="4">
        <v>7132.7400000000007</v>
      </c>
      <c r="G33" s="4">
        <v>20482.7</v>
      </c>
      <c r="H33" s="5">
        <f t="shared" si="0"/>
        <v>52081.67</v>
      </c>
      <c r="I33" s="7">
        <f t="shared" si="1"/>
        <v>3.7971934916289601E-4</v>
      </c>
    </row>
    <row r="34" spans="1:9" ht="15" customHeight="1" x14ac:dyDescent="0.25">
      <c r="A34" s="8" t="s">
        <v>55</v>
      </c>
      <c r="B34" s="8" t="s">
        <v>153</v>
      </c>
      <c r="C34" s="4">
        <v>21859.219999999998</v>
      </c>
      <c r="D34" s="4">
        <v>28983.560000000005</v>
      </c>
      <c r="E34" s="4">
        <v>14078.219999999998</v>
      </c>
      <c r="F34" s="4">
        <v>118448.59999999998</v>
      </c>
      <c r="G34" s="4">
        <v>19861.16</v>
      </c>
      <c r="H34" s="5">
        <f t="shared" si="0"/>
        <v>203230.75999999998</v>
      </c>
      <c r="I34" s="7">
        <f t="shared" si="1"/>
        <v>1.4817238371404127E-3</v>
      </c>
    </row>
    <row r="35" spans="1:9" ht="15" customHeight="1" x14ac:dyDescent="0.25">
      <c r="A35" s="8" t="s">
        <v>56</v>
      </c>
      <c r="B35" s="8" t="s">
        <v>153</v>
      </c>
      <c r="C35" s="4">
        <v>79043.159999999989</v>
      </c>
      <c r="D35" s="4">
        <v>189192.27999999994</v>
      </c>
      <c r="E35" s="4">
        <v>232750.18999999989</v>
      </c>
      <c r="F35" s="4">
        <v>324880.47999999992</v>
      </c>
      <c r="G35" s="4">
        <v>64617.639999999992</v>
      </c>
      <c r="H35" s="5">
        <f t="shared" si="0"/>
        <v>890483.74999999977</v>
      </c>
      <c r="I35" s="7">
        <f t="shared" si="1"/>
        <v>6.4923784124075691E-3</v>
      </c>
    </row>
    <row r="36" spans="1:9" ht="15" customHeight="1" x14ac:dyDescent="0.25">
      <c r="A36" s="8" t="s">
        <v>57</v>
      </c>
      <c r="B36" s="8" t="s">
        <v>153</v>
      </c>
      <c r="C36" s="4">
        <v>0</v>
      </c>
      <c r="D36" s="4">
        <v>0</v>
      </c>
      <c r="E36" s="4">
        <v>541.5</v>
      </c>
      <c r="F36" s="4">
        <v>0</v>
      </c>
      <c r="G36" s="4">
        <v>0</v>
      </c>
      <c r="H36" s="5">
        <f t="shared" si="0"/>
        <v>541.5</v>
      </c>
      <c r="I36" s="7">
        <f t="shared" si="1"/>
        <v>3.9479922124560945E-6</v>
      </c>
    </row>
    <row r="37" spans="1:9" ht="15" customHeight="1" x14ac:dyDescent="0.25">
      <c r="A37" s="8" t="s">
        <v>58</v>
      </c>
      <c r="B37" s="8" t="s">
        <v>153</v>
      </c>
      <c r="C37" s="4">
        <v>978443.95</v>
      </c>
      <c r="D37" s="4">
        <v>416822.72000000009</v>
      </c>
      <c r="E37" s="4">
        <v>220369.67999999996</v>
      </c>
      <c r="F37" s="4">
        <v>149212.76</v>
      </c>
      <c r="G37" s="4">
        <v>181970.14999999997</v>
      </c>
      <c r="H37" s="5">
        <f t="shared" si="0"/>
        <v>1946819.2599999998</v>
      </c>
      <c r="I37" s="7">
        <f t="shared" si="1"/>
        <v>1.4193956191208746E-2</v>
      </c>
    </row>
    <row r="38" spans="1:9" ht="15" customHeight="1" x14ac:dyDescent="0.25">
      <c r="A38" s="8" t="s">
        <v>59</v>
      </c>
      <c r="B38" s="8" t="s">
        <v>153</v>
      </c>
      <c r="C38" s="4">
        <v>-2017.8400000000001</v>
      </c>
      <c r="D38" s="4">
        <v>-5584.6200000000008</v>
      </c>
      <c r="E38" s="4">
        <v>-4777.5200000000004</v>
      </c>
      <c r="F38" s="4">
        <v>-6416.96</v>
      </c>
      <c r="G38" s="4">
        <v>-12760.09</v>
      </c>
      <c r="H38" s="5">
        <f t="shared" si="0"/>
        <v>-31557.030000000002</v>
      </c>
      <c r="I38" s="7">
        <f t="shared" si="1"/>
        <v>-2.3007739369943373E-4</v>
      </c>
    </row>
    <row r="39" spans="1:9" ht="15" customHeight="1" x14ac:dyDescent="0.25">
      <c r="A39" s="8" t="s">
        <v>60</v>
      </c>
      <c r="B39" s="8" t="s">
        <v>153</v>
      </c>
      <c r="C39" s="4">
        <v>2474.21</v>
      </c>
      <c r="D39" s="4">
        <v>-5941.8</v>
      </c>
      <c r="E39" s="4">
        <v>-37470.46</v>
      </c>
      <c r="F39" s="4">
        <v>6088.55</v>
      </c>
      <c r="G39" s="4">
        <v>-1123.6100000000001</v>
      </c>
      <c r="H39" s="5">
        <f t="shared" si="0"/>
        <v>-35973.11</v>
      </c>
      <c r="I39" s="7">
        <f t="shared" si="1"/>
        <v>-2.6227434559155397E-4</v>
      </c>
    </row>
    <row r="40" spans="1:9" ht="15" customHeight="1" x14ac:dyDescent="0.25">
      <c r="A40" s="8" t="s">
        <v>61</v>
      </c>
      <c r="B40" s="8" t="s">
        <v>153</v>
      </c>
      <c r="C40" s="4">
        <v>-2322.08</v>
      </c>
      <c r="D40" s="4">
        <v>-16004.9</v>
      </c>
      <c r="E40" s="4">
        <v>-2661.12</v>
      </c>
      <c r="F40" s="4">
        <v>-36509.31</v>
      </c>
      <c r="G40" s="4">
        <v>-8305.5499999999993</v>
      </c>
      <c r="H40" s="5">
        <f t="shared" si="0"/>
        <v>-65802.959999999992</v>
      </c>
      <c r="I40" s="7">
        <f t="shared" si="1"/>
        <v>-4.7975913875634323E-4</v>
      </c>
    </row>
    <row r="41" spans="1:9" ht="15" customHeight="1" x14ac:dyDescent="0.25">
      <c r="A41" s="8" t="s">
        <v>62</v>
      </c>
      <c r="B41" s="8" t="s">
        <v>153</v>
      </c>
      <c r="C41" s="4">
        <v>49566.669999999991</v>
      </c>
      <c r="D41" s="4">
        <v>52122.740000000005</v>
      </c>
      <c r="E41" s="4">
        <v>621355.64999999991</v>
      </c>
      <c r="F41" s="4">
        <v>129522.62999999996</v>
      </c>
      <c r="G41" s="4">
        <v>447770.19999999995</v>
      </c>
      <c r="H41" s="5">
        <f t="shared" si="0"/>
        <v>1300337.8899999999</v>
      </c>
      <c r="I41" s="7">
        <f t="shared" si="1"/>
        <v>9.4805611510278658E-3</v>
      </c>
    </row>
    <row r="42" spans="1:9" ht="15" customHeight="1" x14ac:dyDescent="0.25">
      <c r="A42" s="8" t="s">
        <v>63</v>
      </c>
      <c r="B42" s="8" t="s">
        <v>153</v>
      </c>
      <c r="C42" s="4">
        <v>171141.96999999994</v>
      </c>
      <c r="D42" s="4">
        <v>660300.21999999939</v>
      </c>
      <c r="E42" s="4">
        <v>876239.10000000021</v>
      </c>
      <c r="F42" s="4">
        <v>1622322.2199999995</v>
      </c>
      <c r="G42" s="4">
        <v>892637.83000000019</v>
      </c>
      <c r="H42" s="5">
        <f t="shared" si="0"/>
        <v>4222641.3399999989</v>
      </c>
      <c r="I42" s="7">
        <f t="shared" si="1"/>
        <v>3.0786620731883957E-2</v>
      </c>
    </row>
    <row r="43" spans="1:9" ht="15" customHeight="1" x14ac:dyDescent="0.25">
      <c r="A43" s="8" t="s">
        <v>64</v>
      </c>
      <c r="B43" s="8" t="s">
        <v>153</v>
      </c>
      <c r="C43" s="4">
        <v>157421.71999999994</v>
      </c>
      <c r="D43" s="4">
        <v>552517.64000000013</v>
      </c>
      <c r="E43" s="4">
        <v>320755.77999999997</v>
      </c>
      <c r="F43" s="4">
        <v>862057.26999999967</v>
      </c>
      <c r="G43" s="4">
        <v>412426.56999999995</v>
      </c>
      <c r="H43" s="5">
        <f t="shared" si="0"/>
        <v>2305178.9799999995</v>
      </c>
      <c r="I43" s="7">
        <f t="shared" si="1"/>
        <v>1.6806701129007354E-2</v>
      </c>
    </row>
    <row r="44" spans="1:9" ht="15" customHeight="1" x14ac:dyDescent="0.25">
      <c r="A44" s="8" t="s">
        <v>65</v>
      </c>
      <c r="B44" s="8" t="s">
        <v>153</v>
      </c>
      <c r="C44" s="4">
        <v>2569.1600000000003</v>
      </c>
      <c r="D44" s="4">
        <v>8998.77</v>
      </c>
      <c r="E44" s="4">
        <v>24817.679999999997</v>
      </c>
      <c r="F44" s="4">
        <v>6610.78</v>
      </c>
      <c r="G44" s="4">
        <v>24161.16</v>
      </c>
      <c r="H44" s="5">
        <f t="shared" si="0"/>
        <v>67157.55</v>
      </c>
      <c r="I44" s="7">
        <f t="shared" si="1"/>
        <v>4.8963524359673283E-4</v>
      </c>
    </row>
    <row r="45" spans="1:9" ht="15" customHeight="1" x14ac:dyDescent="0.25">
      <c r="A45" s="8" t="s">
        <v>66</v>
      </c>
      <c r="B45" s="8" t="s">
        <v>153</v>
      </c>
      <c r="C45" s="4">
        <v>1655.9999999999995</v>
      </c>
      <c r="D45" s="4">
        <v>1920</v>
      </c>
      <c r="E45" s="4">
        <v>7149.6</v>
      </c>
      <c r="F45" s="4">
        <v>2392</v>
      </c>
      <c r="G45" s="4">
        <v>5652.46</v>
      </c>
      <c r="H45" s="5">
        <f t="shared" si="0"/>
        <v>18770.060000000001</v>
      </c>
      <c r="I45" s="7">
        <f t="shared" si="1"/>
        <v>1.3684958579378328E-4</v>
      </c>
    </row>
    <row r="46" spans="1:9" ht="15" customHeight="1" x14ac:dyDescent="0.25">
      <c r="A46" s="8" t="s">
        <v>67</v>
      </c>
      <c r="B46" s="8" t="s">
        <v>153</v>
      </c>
      <c r="C46" s="4">
        <v>-2020.1999999999998</v>
      </c>
      <c r="D46" s="4">
        <v>-2130.2999999999997</v>
      </c>
      <c r="E46" s="4">
        <v>-2244.6799999999998</v>
      </c>
      <c r="F46" s="4">
        <v>4194.3199999999988</v>
      </c>
      <c r="G46" s="4">
        <v>-2251.8599999999997</v>
      </c>
      <c r="H46" s="5">
        <f t="shared" si="0"/>
        <v>-4452.7200000000012</v>
      </c>
      <c r="I46" s="7">
        <f t="shared" si="1"/>
        <v>-3.2464088428896597E-5</v>
      </c>
    </row>
    <row r="47" spans="1:9" ht="15" customHeight="1" x14ac:dyDescent="0.25">
      <c r="A47" s="8" t="s">
        <v>162</v>
      </c>
      <c r="B47" s="8" t="s">
        <v>153</v>
      </c>
      <c r="C47" s="4">
        <v>32475.78</v>
      </c>
      <c r="D47" s="4">
        <v>748.8</v>
      </c>
      <c r="E47" s="4">
        <v>55807.289999999994</v>
      </c>
      <c r="F47" s="4">
        <v>0</v>
      </c>
      <c r="G47" s="4">
        <v>6613.74</v>
      </c>
      <c r="H47" s="5">
        <f t="shared" si="0"/>
        <v>95645.61</v>
      </c>
      <c r="I47" s="7">
        <f t="shared" si="1"/>
        <v>6.9733725472874008E-4</v>
      </c>
    </row>
    <row r="48" spans="1:9" ht="15" customHeight="1" x14ac:dyDescent="0.25">
      <c r="A48" s="8" t="s">
        <v>68</v>
      </c>
      <c r="B48" s="8" t="s">
        <v>153</v>
      </c>
      <c r="C48" s="4">
        <v>48605.140000000007</v>
      </c>
      <c r="D48" s="4">
        <v>11793.95</v>
      </c>
      <c r="E48" s="4">
        <v>16835.379999999997</v>
      </c>
      <c r="F48" s="4">
        <v>55815.329999999994</v>
      </c>
      <c r="G48" s="4">
        <v>100764.11</v>
      </c>
      <c r="H48" s="5">
        <f t="shared" si="0"/>
        <v>233813.90999999997</v>
      </c>
      <c r="I48" s="7">
        <f t="shared" si="1"/>
        <v>1.7047008233497878E-3</v>
      </c>
    </row>
    <row r="49" spans="1:9" ht="15" customHeight="1" x14ac:dyDescent="0.25">
      <c r="A49" s="8" t="s">
        <v>70</v>
      </c>
      <c r="B49" s="8" t="s">
        <v>153</v>
      </c>
      <c r="C49" s="4">
        <v>0</v>
      </c>
      <c r="D49" s="4">
        <v>0</v>
      </c>
      <c r="E49" s="4">
        <v>0</v>
      </c>
      <c r="F49" s="4">
        <v>13777.92</v>
      </c>
      <c r="G49" s="4">
        <v>0</v>
      </c>
      <c r="H49" s="5">
        <f t="shared" si="0"/>
        <v>13777.92</v>
      </c>
      <c r="I49" s="7">
        <f t="shared" si="1"/>
        <v>1.004526701086668E-4</v>
      </c>
    </row>
    <row r="50" spans="1:9" ht="15" customHeight="1" x14ac:dyDescent="0.25">
      <c r="A50" s="8" t="s">
        <v>71</v>
      </c>
      <c r="B50" s="8" t="s">
        <v>153</v>
      </c>
      <c r="C50" s="4">
        <v>9339.4</v>
      </c>
      <c r="D50" s="4">
        <v>42872.329999999987</v>
      </c>
      <c r="E50" s="4">
        <v>58216.629999999976</v>
      </c>
      <c r="F50" s="4">
        <v>58413.099999999991</v>
      </c>
      <c r="G50" s="4">
        <v>27977.180000000004</v>
      </c>
      <c r="H50" s="5">
        <f t="shared" si="0"/>
        <v>196818.63999999996</v>
      </c>
      <c r="I50" s="7">
        <f t="shared" si="1"/>
        <v>1.4349740683032306E-3</v>
      </c>
    </row>
    <row r="51" spans="1:9" ht="15" customHeight="1" x14ac:dyDescent="0.25">
      <c r="A51" s="8" t="s">
        <v>72</v>
      </c>
      <c r="B51" s="8" t="s">
        <v>153</v>
      </c>
      <c r="C51" s="4">
        <v>0</v>
      </c>
      <c r="D51" s="4">
        <v>0</v>
      </c>
      <c r="E51" s="4">
        <v>0</v>
      </c>
      <c r="F51" s="4">
        <v>9038.4</v>
      </c>
      <c r="G51" s="4">
        <v>2257.1999999999998</v>
      </c>
      <c r="H51" s="5">
        <f t="shared" si="0"/>
        <v>11295.599999999999</v>
      </c>
      <c r="I51" s="7">
        <f t="shared" si="1"/>
        <v>8.2354461375843134E-5</v>
      </c>
    </row>
    <row r="52" spans="1:9" ht="15" customHeight="1" x14ac:dyDescent="0.25">
      <c r="A52" s="8" t="s">
        <v>73</v>
      </c>
      <c r="B52" s="8" t="s">
        <v>153</v>
      </c>
      <c r="C52" s="4">
        <v>629.20000000000005</v>
      </c>
      <c r="D52" s="4">
        <v>-24688.319999999996</v>
      </c>
      <c r="E52" s="4">
        <v>44587.430000000008</v>
      </c>
      <c r="F52" s="4">
        <v>47228.05000000001</v>
      </c>
      <c r="G52" s="4">
        <v>23642.059999999998</v>
      </c>
      <c r="H52" s="5">
        <f t="shared" si="0"/>
        <v>91398.420000000013</v>
      </c>
      <c r="I52" s="7">
        <f t="shared" si="1"/>
        <v>6.6637165353793429E-4</v>
      </c>
    </row>
    <row r="53" spans="1:9" ht="15" customHeight="1" x14ac:dyDescent="0.25">
      <c r="A53" s="8" t="s">
        <v>74</v>
      </c>
      <c r="B53" s="8" t="s">
        <v>153</v>
      </c>
      <c r="C53" s="4">
        <v>98561.2</v>
      </c>
      <c r="D53" s="4">
        <v>68035.649999999994</v>
      </c>
      <c r="E53" s="4">
        <v>48127.19</v>
      </c>
      <c r="F53" s="4">
        <v>101576.86</v>
      </c>
      <c r="G53" s="4">
        <v>78843.5</v>
      </c>
      <c r="H53" s="5">
        <f t="shared" si="0"/>
        <v>395144.39999999997</v>
      </c>
      <c r="I53" s="7">
        <f t="shared" si="1"/>
        <v>2.8809363139346922E-3</v>
      </c>
    </row>
    <row r="54" spans="1:9" ht="15" customHeight="1" x14ac:dyDescent="0.25">
      <c r="A54" s="8" t="s">
        <v>75</v>
      </c>
      <c r="B54" s="8" t="s">
        <v>153</v>
      </c>
      <c r="C54" s="4">
        <v>64721.850000000006</v>
      </c>
      <c r="D54" s="4">
        <v>56421.21</v>
      </c>
      <c r="E54" s="4">
        <v>29241.65</v>
      </c>
      <c r="F54" s="4">
        <v>238737.16000000003</v>
      </c>
      <c r="G54" s="4">
        <v>17340</v>
      </c>
      <c r="H54" s="5">
        <f t="shared" si="0"/>
        <v>406461.87</v>
      </c>
      <c r="I54" s="7">
        <f t="shared" si="1"/>
        <v>2.9634502260763463E-3</v>
      </c>
    </row>
    <row r="55" spans="1:9" ht="15" customHeight="1" x14ac:dyDescent="0.25">
      <c r="A55" s="8" t="s">
        <v>76</v>
      </c>
      <c r="B55" s="8" t="s">
        <v>153</v>
      </c>
      <c r="C55" s="4">
        <v>7151.55</v>
      </c>
      <c r="D55" s="4">
        <v>5648.6100000000006</v>
      </c>
      <c r="E55" s="4">
        <v>57736.000000000007</v>
      </c>
      <c r="F55" s="4">
        <v>81666.240000000005</v>
      </c>
      <c r="G55" s="4">
        <v>73770.330000000016</v>
      </c>
      <c r="H55" s="5">
        <f t="shared" si="0"/>
        <v>225972.73000000004</v>
      </c>
      <c r="I55" s="7">
        <f t="shared" si="1"/>
        <v>1.6475320004938944E-3</v>
      </c>
    </row>
    <row r="56" spans="1:9" ht="15" customHeight="1" x14ac:dyDescent="0.25">
      <c r="A56" s="8" t="s">
        <v>77</v>
      </c>
      <c r="B56" s="8" t="s">
        <v>153</v>
      </c>
      <c r="C56" s="4">
        <v>419617.68999999977</v>
      </c>
      <c r="D56" s="4">
        <v>1113336.79</v>
      </c>
      <c r="E56" s="4">
        <v>1764728.04</v>
      </c>
      <c r="F56" s="4">
        <v>1510153.4500000011</v>
      </c>
      <c r="G56" s="4">
        <v>976991.57</v>
      </c>
      <c r="H56" s="5">
        <f t="shared" si="0"/>
        <v>5784827.540000001</v>
      </c>
      <c r="I56" s="7">
        <f t="shared" si="1"/>
        <v>4.2176277152948388E-2</v>
      </c>
    </row>
    <row r="57" spans="1:9" ht="15" customHeight="1" x14ac:dyDescent="0.25">
      <c r="A57" s="8" t="s">
        <v>78</v>
      </c>
      <c r="B57" s="8" t="s">
        <v>153</v>
      </c>
      <c r="C57" s="4">
        <v>27964.029999999995</v>
      </c>
      <c r="D57" s="4">
        <v>30287.03</v>
      </c>
      <c r="E57" s="4">
        <v>27321.659999999996</v>
      </c>
      <c r="F57" s="4">
        <v>124319.58000000002</v>
      </c>
      <c r="G57" s="4">
        <v>12974.6</v>
      </c>
      <c r="H57" s="5">
        <f t="shared" si="0"/>
        <v>222866.90000000002</v>
      </c>
      <c r="I57" s="7">
        <f t="shared" si="1"/>
        <v>1.624887877403936E-3</v>
      </c>
    </row>
    <row r="58" spans="1:9" ht="15" customHeight="1" x14ac:dyDescent="0.25">
      <c r="A58" s="8" t="s">
        <v>79</v>
      </c>
      <c r="B58" s="8" t="s">
        <v>153</v>
      </c>
      <c r="C58" s="4">
        <v>0</v>
      </c>
      <c r="D58" s="4">
        <v>0</v>
      </c>
      <c r="E58" s="4">
        <v>0</v>
      </c>
      <c r="F58" s="4">
        <v>3108.06</v>
      </c>
      <c r="G58" s="4">
        <v>4975.2</v>
      </c>
      <c r="H58" s="5">
        <f t="shared" si="0"/>
        <v>8083.26</v>
      </c>
      <c r="I58" s="7">
        <f t="shared" si="1"/>
        <v>5.8933790454769808E-5</v>
      </c>
    </row>
    <row r="59" spans="1:9" ht="15" customHeight="1" x14ac:dyDescent="0.25">
      <c r="A59" s="8" t="s">
        <v>80</v>
      </c>
      <c r="B59" s="8" t="s">
        <v>153</v>
      </c>
      <c r="C59" s="4">
        <v>3351.5</v>
      </c>
      <c r="D59" s="4">
        <v>15970.92</v>
      </c>
      <c r="E59" s="4">
        <v>399</v>
      </c>
      <c r="F59" s="4">
        <v>44449.2</v>
      </c>
      <c r="G59" s="4">
        <v>26935.800000000003</v>
      </c>
      <c r="H59" s="5">
        <f t="shared" si="0"/>
        <v>91106.42</v>
      </c>
      <c r="I59" s="7">
        <f t="shared" si="1"/>
        <v>6.6424272698938904E-4</v>
      </c>
    </row>
    <row r="60" spans="1:9" ht="15" customHeight="1" x14ac:dyDescent="0.25">
      <c r="A60" s="8" t="s">
        <v>81</v>
      </c>
      <c r="B60" s="8" t="s">
        <v>153</v>
      </c>
      <c r="C60" s="4">
        <v>13150.559999999998</v>
      </c>
      <c r="D60" s="4">
        <v>222097.06000000003</v>
      </c>
      <c r="E60" s="4">
        <v>267993.03000000003</v>
      </c>
      <c r="F60" s="4">
        <v>736316.88000000012</v>
      </c>
      <c r="G60" s="4">
        <v>184642.40000000002</v>
      </c>
      <c r="H60" s="5">
        <f t="shared" si="0"/>
        <v>1424199.9300000002</v>
      </c>
      <c r="I60" s="7">
        <f t="shared" si="1"/>
        <v>1.0383620004839365E-2</v>
      </c>
    </row>
    <row r="61" spans="1:9" ht="15" customHeight="1" x14ac:dyDescent="0.25">
      <c r="A61" s="8" t="s">
        <v>82</v>
      </c>
      <c r="B61" s="8" t="s">
        <v>153</v>
      </c>
      <c r="C61" s="4">
        <v>8490.2999999999975</v>
      </c>
      <c r="D61" s="4">
        <v>6239.63</v>
      </c>
      <c r="E61" s="4">
        <v>6730.02</v>
      </c>
      <c r="F61" s="4">
        <v>18998.169999999998</v>
      </c>
      <c r="G61" s="4">
        <v>18534.84</v>
      </c>
      <c r="H61" s="5">
        <f t="shared" si="0"/>
        <v>58992.959999999992</v>
      </c>
      <c r="I61" s="7">
        <f t="shared" si="1"/>
        <v>4.3010848877143832E-4</v>
      </c>
    </row>
    <row r="62" spans="1:9" ht="15" customHeight="1" x14ac:dyDescent="0.25">
      <c r="A62" s="8" t="s">
        <v>83</v>
      </c>
      <c r="B62" s="8" t="s">
        <v>153</v>
      </c>
      <c r="C62" s="4">
        <v>21422.7</v>
      </c>
      <c r="D62" s="4">
        <v>19054</v>
      </c>
      <c r="E62" s="4">
        <v>21551.600000000002</v>
      </c>
      <c r="F62" s="4">
        <v>62727.119999999995</v>
      </c>
      <c r="G62" s="4">
        <v>89668.340000000011</v>
      </c>
      <c r="H62" s="5">
        <f t="shared" si="0"/>
        <v>214423.76</v>
      </c>
      <c r="I62" s="7">
        <f t="shared" si="1"/>
        <v>1.5633302578865276E-3</v>
      </c>
    </row>
    <row r="63" spans="1:9" ht="15" customHeight="1" x14ac:dyDescent="0.25">
      <c r="A63" s="8" t="s">
        <v>84</v>
      </c>
      <c r="B63" s="8" t="s">
        <v>153</v>
      </c>
      <c r="C63" s="4">
        <v>2882.88</v>
      </c>
      <c r="D63" s="4">
        <v>16707.219999999998</v>
      </c>
      <c r="E63" s="4">
        <v>14016.029999999999</v>
      </c>
      <c r="F63" s="4">
        <v>31607.82</v>
      </c>
      <c r="G63" s="4">
        <v>18245.95</v>
      </c>
      <c r="H63" s="5">
        <f t="shared" si="0"/>
        <v>83459.899999999994</v>
      </c>
      <c r="I63" s="7">
        <f t="shared" si="1"/>
        <v>6.0849313989356298E-4</v>
      </c>
    </row>
    <row r="64" spans="1:9" ht="15" customHeight="1" x14ac:dyDescent="0.25">
      <c r="A64" s="8" t="s">
        <v>86</v>
      </c>
      <c r="B64" s="8" t="s">
        <v>153</v>
      </c>
      <c r="C64" s="4">
        <v>-1624</v>
      </c>
      <c r="D64" s="4">
        <v>588</v>
      </c>
      <c r="E64" s="4">
        <v>1249.5</v>
      </c>
      <c r="F64" s="4">
        <v>6453.3</v>
      </c>
      <c r="G64" s="4">
        <v>4417.84</v>
      </c>
      <c r="H64" s="5">
        <f t="shared" si="0"/>
        <v>11084.64</v>
      </c>
      <c r="I64" s="7">
        <f t="shared" si="1"/>
        <v>8.0816384852962737E-5</v>
      </c>
    </row>
    <row r="65" spans="1:9" ht="15" customHeight="1" x14ac:dyDescent="0.25">
      <c r="A65" s="8" t="s">
        <v>87</v>
      </c>
      <c r="B65" s="8" t="s">
        <v>153</v>
      </c>
      <c r="C65" s="4">
        <v>15470.099999999999</v>
      </c>
      <c r="D65" s="4">
        <v>33028.279999999992</v>
      </c>
      <c r="E65" s="4">
        <v>25180.97</v>
      </c>
      <c r="F65" s="4">
        <v>78518.359999999986</v>
      </c>
      <c r="G65" s="4">
        <v>164528.44</v>
      </c>
      <c r="H65" s="5">
        <f t="shared" si="0"/>
        <v>316726.14999999997</v>
      </c>
      <c r="I65" s="7">
        <f t="shared" si="1"/>
        <v>2.3092010594297336E-3</v>
      </c>
    </row>
    <row r="66" spans="1:9" ht="15" customHeight="1" x14ac:dyDescent="0.25">
      <c r="A66" s="8" t="s">
        <v>88</v>
      </c>
      <c r="B66" s="8" t="s">
        <v>153</v>
      </c>
      <c r="C66" s="4">
        <v>90105.049999999988</v>
      </c>
      <c r="D66" s="4">
        <v>278939.08999999991</v>
      </c>
      <c r="E66" s="4">
        <v>255470.18999999997</v>
      </c>
      <c r="F66" s="4">
        <v>859172.24</v>
      </c>
      <c r="G66" s="4">
        <v>424080.99</v>
      </c>
      <c r="H66" s="5">
        <f t="shared" si="0"/>
        <v>1907767.5599999998</v>
      </c>
      <c r="I66" s="7">
        <f t="shared" si="1"/>
        <v>1.3909236325127174E-2</v>
      </c>
    </row>
    <row r="67" spans="1:9" ht="15" customHeight="1" x14ac:dyDescent="0.25">
      <c r="A67" s="8" t="s">
        <v>89</v>
      </c>
      <c r="B67" s="8" t="s">
        <v>153</v>
      </c>
      <c r="C67" s="4">
        <v>11095.199999999999</v>
      </c>
      <c r="D67" s="4">
        <v>4082.3999999999996</v>
      </c>
      <c r="E67" s="4">
        <v>993.6</v>
      </c>
      <c r="F67" s="4">
        <v>3191.1400000000003</v>
      </c>
      <c r="G67" s="4">
        <v>-2820.7999999999997</v>
      </c>
      <c r="H67" s="5">
        <f t="shared" si="0"/>
        <v>16541.54</v>
      </c>
      <c r="I67" s="7">
        <f t="shared" si="1"/>
        <v>1.2060179335555122E-4</v>
      </c>
    </row>
    <row r="68" spans="1:9" ht="15" customHeight="1" x14ac:dyDescent="0.25">
      <c r="A68" s="8" t="s">
        <v>90</v>
      </c>
      <c r="B68" s="8" t="s">
        <v>153</v>
      </c>
      <c r="C68" s="4">
        <v>14296</v>
      </c>
      <c r="D68" s="4">
        <v>9426.9</v>
      </c>
      <c r="E68" s="4">
        <v>0</v>
      </c>
      <c r="F68" s="4">
        <v>57195</v>
      </c>
      <c r="G68" s="4">
        <v>36405.799999999996</v>
      </c>
      <c r="H68" s="5">
        <f t="shared" si="0"/>
        <v>117323.69999999998</v>
      </c>
      <c r="I68" s="7">
        <f t="shared" si="1"/>
        <v>8.5538883460117268E-4</v>
      </c>
    </row>
    <row r="69" spans="1:9" ht="15" customHeight="1" x14ac:dyDescent="0.25">
      <c r="A69" s="8" t="s">
        <v>91</v>
      </c>
      <c r="B69" s="8" t="s">
        <v>153</v>
      </c>
      <c r="C69" s="4">
        <v>100178.49</v>
      </c>
      <c r="D69" s="4">
        <v>71884.549999999988</v>
      </c>
      <c r="E69" s="4">
        <v>24635.530000000002</v>
      </c>
      <c r="F69" s="4">
        <v>340059.94000000012</v>
      </c>
      <c r="G69" s="4">
        <v>52585.440000000002</v>
      </c>
      <c r="H69" s="5">
        <f t="shared" si="0"/>
        <v>589343.95000000019</v>
      </c>
      <c r="I69" s="7">
        <f t="shared" si="1"/>
        <v>4.2968150047241272E-3</v>
      </c>
    </row>
    <row r="70" spans="1:9" ht="15" customHeight="1" x14ac:dyDescent="0.25">
      <c r="A70" s="8" t="s">
        <v>92</v>
      </c>
      <c r="B70" s="8" t="s">
        <v>153</v>
      </c>
      <c r="C70" s="4">
        <v>34535.100000000006</v>
      </c>
      <c r="D70" s="4">
        <v>82496.249999999985</v>
      </c>
      <c r="E70" s="4">
        <v>15501.920000000002</v>
      </c>
      <c r="F70" s="4">
        <v>267922.54000000004</v>
      </c>
      <c r="G70" s="4">
        <v>16670.63</v>
      </c>
      <c r="H70" s="5">
        <f t="shared" ref="H70:H130" si="2">SUM(C70:G70)</f>
        <v>417126.44000000006</v>
      </c>
      <c r="I70" s="7">
        <f t="shared" ref="I70:I130" si="3">H70/$H$131</f>
        <v>3.0412039459455855E-3</v>
      </c>
    </row>
    <row r="71" spans="1:9" ht="15" customHeight="1" x14ac:dyDescent="0.25">
      <c r="A71" s="8" t="s">
        <v>93</v>
      </c>
      <c r="B71" s="8" t="s">
        <v>153</v>
      </c>
      <c r="C71" s="4">
        <v>174638.68</v>
      </c>
      <c r="D71" s="4">
        <v>379406.88000000006</v>
      </c>
      <c r="E71" s="4">
        <v>656965.43000000017</v>
      </c>
      <c r="F71" s="4">
        <v>796835.59000000008</v>
      </c>
      <c r="G71" s="4">
        <v>439116.01999999996</v>
      </c>
      <c r="H71" s="5">
        <f t="shared" si="2"/>
        <v>2446962.6</v>
      </c>
      <c r="I71" s="7">
        <f t="shared" si="3"/>
        <v>1.7840423433003356E-2</v>
      </c>
    </row>
    <row r="72" spans="1:9" ht="15" customHeight="1" x14ac:dyDescent="0.25">
      <c r="A72" s="8" t="s">
        <v>94</v>
      </c>
      <c r="B72" s="8" t="s">
        <v>153</v>
      </c>
      <c r="C72" s="4">
        <v>14279.220000000001</v>
      </c>
      <c r="D72" s="4">
        <v>0</v>
      </c>
      <c r="E72" s="4">
        <v>0</v>
      </c>
      <c r="F72" s="4">
        <v>36128.870000000003</v>
      </c>
      <c r="G72" s="4">
        <v>2729.6000000000004</v>
      </c>
      <c r="H72" s="5">
        <f t="shared" si="2"/>
        <v>53137.69</v>
      </c>
      <c r="I72" s="7">
        <f t="shared" si="3"/>
        <v>3.8741862660739813E-4</v>
      </c>
    </row>
    <row r="73" spans="1:9" ht="15" customHeight="1" x14ac:dyDescent="0.25">
      <c r="A73" s="8" t="s">
        <v>95</v>
      </c>
      <c r="B73" s="8" t="s">
        <v>153</v>
      </c>
      <c r="C73" s="4">
        <v>-14592.93</v>
      </c>
      <c r="D73" s="4">
        <v>-240.47999999999962</v>
      </c>
      <c r="E73" s="4">
        <v>0</v>
      </c>
      <c r="F73" s="4">
        <v>-6563.7500000000009</v>
      </c>
      <c r="G73" s="4">
        <v>7139.24</v>
      </c>
      <c r="H73" s="5">
        <f t="shared" si="2"/>
        <v>-14257.92</v>
      </c>
      <c r="I73" s="7">
        <f t="shared" si="3"/>
        <v>-1.0395227539394644E-4</v>
      </c>
    </row>
    <row r="74" spans="1:9" ht="15" customHeight="1" x14ac:dyDescent="0.25">
      <c r="A74" s="8" t="s">
        <v>96</v>
      </c>
      <c r="B74" s="8" t="s">
        <v>153</v>
      </c>
      <c r="C74" s="4">
        <v>0</v>
      </c>
      <c r="D74" s="4">
        <v>0</v>
      </c>
      <c r="E74" s="4">
        <v>0</v>
      </c>
      <c r="F74" s="4">
        <v>4732.6000000000004</v>
      </c>
      <c r="G74" s="4">
        <v>1446.4</v>
      </c>
      <c r="H74" s="5">
        <f t="shared" si="2"/>
        <v>6179</v>
      </c>
      <c r="I74" s="7">
        <f t="shared" si="3"/>
        <v>4.5050127203631042E-5</v>
      </c>
    </row>
    <row r="75" spans="1:9" ht="15" customHeight="1" x14ac:dyDescent="0.25">
      <c r="A75" s="8" t="s">
        <v>97</v>
      </c>
      <c r="B75" s="8" t="s">
        <v>153</v>
      </c>
      <c r="C75" s="4">
        <v>359790.29000000004</v>
      </c>
      <c r="D75" s="4">
        <v>235522.45</v>
      </c>
      <c r="E75" s="4">
        <v>11923.08</v>
      </c>
      <c r="F75" s="4">
        <v>869342.96</v>
      </c>
      <c r="G75" s="4">
        <v>1073292.1900000002</v>
      </c>
      <c r="H75" s="5">
        <f t="shared" si="2"/>
        <v>2549870.9699999997</v>
      </c>
      <c r="I75" s="7">
        <f t="shared" si="3"/>
        <v>1.8590712340402341E-2</v>
      </c>
    </row>
    <row r="76" spans="1:9" ht="15" customHeight="1" x14ac:dyDescent="0.25">
      <c r="A76" s="8" t="s">
        <v>98</v>
      </c>
      <c r="B76" s="8" t="s">
        <v>153</v>
      </c>
      <c r="C76" s="4">
        <v>0</v>
      </c>
      <c r="D76" s="4">
        <v>0</v>
      </c>
      <c r="E76" s="4">
        <v>0</v>
      </c>
      <c r="F76" s="4">
        <v>0</v>
      </c>
      <c r="G76" s="4">
        <v>1830.8000000000002</v>
      </c>
      <c r="H76" s="5">
        <f t="shared" si="2"/>
        <v>1830.8000000000002</v>
      </c>
      <c r="I76" s="7">
        <f t="shared" si="3"/>
        <v>1.3348077825604097E-5</v>
      </c>
    </row>
    <row r="77" spans="1:9" ht="15" customHeight="1" x14ac:dyDescent="0.25">
      <c r="A77" s="8" t="s">
        <v>99</v>
      </c>
      <c r="B77" s="8" t="s">
        <v>153</v>
      </c>
      <c r="C77" s="4">
        <v>16909.7</v>
      </c>
      <c r="D77" s="4">
        <v>8984.1299999999992</v>
      </c>
      <c r="E77" s="4">
        <v>23248.97</v>
      </c>
      <c r="F77" s="4">
        <v>11245.800000000001</v>
      </c>
      <c r="G77" s="4">
        <v>58167.37999999999</v>
      </c>
      <c r="H77" s="5">
        <f t="shared" si="2"/>
        <v>118555.98</v>
      </c>
      <c r="I77" s="7">
        <f t="shared" si="3"/>
        <v>8.6437319626980692E-4</v>
      </c>
    </row>
    <row r="78" spans="1:9" ht="15" customHeight="1" x14ac:dyDescent="0.25">
      <c r="A78" s="8" t="s">
        <v>100</v>
      </c>
      <c r="B78" s="8" t="s">
        <v>153</v>
      </c>
      <c r="C78" s="4">
        <v>0</v>
      </c>
      <c r="D78" s="4">
        <v>0</v>
      </c>
      <c r="E78" s="4">
        <v>0</v>
      </c>
      <c r="F78" s="4">
        <v>0</v>
      </c>
      <c r="G78" s="4">
        <v>3162.45</v>
      </c>
      <c r="H78" s="5">
        <f t="shared" si="2"/>
        <v>3162.45</v>
      </c>
      <c r="I78" s="7">
        <f t="shared" si="3"/>
        <v>2.3056930696734582E-5</v>
      </c>
    </row>
    <row r="79" spans="1:9" ht="15" customHeight="1" x14ac:dyDescent="0.25">
      <c r="A79" s="8" t="s">
        <v>101</v>
      </c>
      <c r="B79" s="8" t="s">
        <v>153</v>
      </c>
      <c r="C79" s="4">
        <v>166401.53999999998</v>
      </c>
      <c r="D79" s="4">
        <v>448036.63000000024</v>
      </c>
      <c r="E79" s="4">
        <v>850075.77999999956</v>
      </c>
      <c r="F79" s="4">
        <v>992879.47999999917</v>
      </c>
      <c r="G79" s="4">
        <v>785202.57000000018</v>
      </c>
      <c r="H79" s="5">
        <f t="shared" si="2"/>
        <v>3242595.9999999991</v>
      </c>
      <c r="I79" s="7">
        <f t="shared" si="3"/>
        <v>2.3641262707555455E-2</v>
      </c>
    </row>
    <row r="80" spans="1:9" ht="15" customHeight="1" x14ac:dyDescent="0.25">
      <c r="A80" s="8" t="s">
        <v>102</v>
      </c>
      <c r="B80" s="8" t="s">
        <v>153</v>
      </c>
      <c r="C80" s="4">
        <v>11293.94</v>
      </c>
      <c r="D80" s="4">
        <v>234983.42000000004</v>
      </c>
      <c r="E80" s="4">
        <v>90294.85000000002</v>
      </c>
      <c r="F80" s="4">
        <v>18748.740000000002</v>
      </c>
      <c r="G80" s="4">
        <v>138385.04000000004</v>
      </c>
      <c r="H80" s="5">
        <f t="shared" si="2"/>
        <v>493705.99000000011</v>
      </c>
      <c r="I80" s="7">
        <f t="shared" si="3"/>
        <v>3.5995335249546204E-3</v>
      </c>
    </row>
    <row r="81" spans="1:9" ht="15" customHeight="1" x14ac:dyDescent="0.25">
      <c r="A81" s="8" t="s">
        <v>103</v>
      </c>
      <c r="B81" s="8" t="s">
        <v>153</v>
      </c>
      <c r="C81" s="4">
        <v>89559.499999999971</v>
      </c>
      <c r="D81" s="4">
        <v>370011.98000000016</v>
      </c>
      <c r="E81" s="4">
        <v>986678.28999999992</v>
      </c>
      <c r="F81" s="4">
        <v>766391.81</v>
      </c>
      <c r="G81" s="4">
        <v>370786.28000000009</v>
      </c>
      <c r="H81" s="5">
        <f t="shared" si="2"/>
        <v>2583427.8600000003</v>
      </c>
      <c r="I81" s="7">
        <f t="shared" si="3"/>
        <v>1.8835370402072234E-2</v>
      </c>
    </row>
    <row r="82" spans="1:9" ht="15" customHeight="1" x14ac:dyDescent="0.25">
      <c r="A82" s="8" t="s">
        <v>104</v>
      </c>
      <c r="B82" s="8" t="s">
        <v>153</v>
      </c>
      <c r="C82" s="4">
        <v>12181.970000000001</v>
      </c>
      <c r="D82" s="4">
        <v>18223.149999999998</v>
      </c>
      <c r="E82" s="4">
        <v>0</v>
      </c>
      <c r="F82" s="4">
        <v>147250.1</v>
      </c>
      <c r="G82" s="4">
        <v>23295.950000000004</v>
      </c>
      <c r="H82" s="5">
        <f t="shared" si="2"/>
        <v>200951.17</v>
      </c>
      <c r="I82" s="7">
        <f t="shared" si="3"/>
        <v>1.4651037012815159E-3</v>
      </c>
    </row>
    <row r="83" spans="1:9" ht="15" customHeight="1" x14ac:dyDescent="0.25">
      <c r="A83" s="8" t="s">
        <v>105</v>
      </c>
      <c r="B83" s="8" t="s">
        <v>153</v>
      </c>
      <c r="C83" s="4">
        <v>20973.43</v>
      </c>
      <c r="D83" s="4">
        <v>66375.03</v>
      </c>
      <c r="E83" s="4">
        <v>51343.840000000004</v>
      </c>
      <c r="F83" s="4">
        <v>202476.60000000006</v>
      </c>
      <c r="G83" s="4">
        <v>46537.96</v>
      </c>
      <c r="H83" s="5">
        <f t="shared" si="2"/>
        <v>387706.86000000004</v>
      </c>
      <c r="I83" s="7">
        <f t="shared" si="3"/>
        <v>2.8267103674899457E-3</v>
      </c>
    </row>
    <row r="84" spans="1:9" ht="15" customHeight="1" x14ac:dyDescent="0.25">
      <c r="A84" s="8" t="s">
        <v>106</v>
      </c>
      <c r="B84" s="8" t="s">
        <v>153</v>
      </c>
      <c r="C84" s="4">
        <v>408.5</v>
      </c>
      <c r="D84" s="4">
        <v>2089.8000000000002</v>
      </c>
      <c r="E84" s="4">
        <v>350.37</v>
      </c>
      <c r="F84" s="4">
        <v>817</v>
      </c>
      <c r="G84" s="4">
        <v>4274.2</v>
      </c>
      <c r="H84" s="5">
        <f t="shared" si="2"/>
        <v>7939.87</v>
      </c>
      <c r="I84" s="7">
        <f t="shared" si="3"/>
        <v>5.7888356284235959E-5</v>
      </c>
    </row>
    <row r="85" spans="1:9" ht="15" customHeight="1" x14ac:dyDescent="0.25">
      <c r="A85" s="8" t="s">
        <v>107</v>
      </c>
      <c r="B85" s="8" t="s">
        <v>153</v>
      </c>
      <c r="C85" s="4">
        <v>574115.25999999989</v>
      </c>
      <c r="D85" s="4">
        <v>651521.14</v>
      </c>
      <c r="E85" s="4">
        <v>304731.52000000008</v>
      </c>
      <c r="F85" s="4">
        <v>1047025.0700000002</v>
      </c>
      <c r="G85" s="4">
        <v>976812.4</v>
      </c>
      <c r="H85" s="5">
        <f t="shared" si="2"/>
        <v>3554205.39</v>
      </c>
      <c r="I85" s="7">
        <f t="shared" si="3"/>
        <v>2.5913158266277887E-2</v>
      </c>
    </row>
    <row r="86" spans="1:9" ht="15" customHeight="1" x14ac:dyDescent="0.25">
      <c r="A86" s="8" t="s">
        <v>108</v>
      </c>
      <c r="B86" s="8" t="s">
        <v>153</v>
      </c>
      <c r="C86" s="4">
        <v>32120.240000000002</v>
      </c>
      <c r="D86" s="4">
        <v>73294.73000000001</v>
      </c>
      <c r="E86" s="4">
        <v>7119.0399999999991</v>
      </c>
      <c r="F86" s="4">
        <v>143439.90999999997</v>
      </c>
      <c r="G86" s="4">
        <v>53283.360000000015</v>
      </c>
      <c r="H86" s="5">
        <f t="shared" si="2"/>
        <v>309257.28000000003</v>
      </c>
      <c r="I86" s="7">
        <f t="shared" si="3"/>
        <v>2.2547466908316785E-3</v>
      </c>
    </row>
    <row r="87" spans="1:9" ht="15" customHeight="1" x14ac:dyDescent="0.25">
      <c r="A87" s="8" t="s">
        <v>109</v>
      </c>
      <c r="B87" s="8" t="s">
        <v>153</v>
      </c>
      <c r="C87" s="4">
        <v>82957.08</v>
      </c>
      <c r="D87" s="4">
        <v>439574.22999999992</v>
      </c>
      <c r="E87" s="4">
        <v>1239600.2600000005</v>
      </c>
      <c r="F87" s="4">
        <v>1033731.0600000009</v>
      </c>
      <c r="G87" s="4">
        <v>465477.58999999991</v>
      </c>
      <c r="H87" s="5">
        <f t="shared" si="2"/>
        <v>3261340.2200000011</v>
      </c>
      <c r="I87" s="7">
        <f t="shared" si="3"/>
        <v>2.3777923897931395E-2</v>
      </c>
    </row>
    <row r="88" spans="1:9" ht="15" customHeight="1" x14ac:dyDescent="0.25">
      <c r="A88" s="8" t="s">
        <v>110</v>
      </c>
      <c r="B88" s="8" t="s">
        <v>153</v>
      </c>
      <c r="C88" s="4">
        <v>648042.07999999996</v>
      </c>
      <c r="D88" s="4">
        <v>10093813.780000007</v>
      </c>
      <c r="E88" s="4">
        <v>25536469.159999989</v>
      </c>
      <c r="F88" s="4">
        <v>5547768.8499999996</v>
      </c>
      <c r="G88" s="4">
        <v>9578022.549999997</v>
      </c>
      <c r="H88" s="5">
        <f t="shared" si="2"/>
        <v>51404116.419999994</v>
      </c>
      <c r="I88" s="7">
        <f t="shared" si="3"/>
        <v>0.37477941147617072</v>
      </c>
    </row>
    <row r="89" spans="1:9" ht="15" customHeight="1" x14ac:dyDescent="0.25">
      <c r="A89" s="8" t="s">
        <v>111</v>
      </c>
      <c r="B89" s="8" t="s">
        <v>153</v>
      </c>
      <c r="C89" s="4">
        <v>129542.93</v>
      </c>
      <c r="D89" s="4">
        <v>131392.05000000002</v>
      </c>
      <c r="E89" s="4">
        <v>29622.3</v>
      </c>
      <c r="F89" s="4">
        <v>430809.12000000005</v>
      </c>
      <c r="G89" s="4">
        <v>203660.58000000002</v>
      </c>
      <c r="H89" s="5">
        <f t="shared" si="2"/>
        <v>925026.98000000021</v>
      </c>
      <c r="I89" s="7">
        <f t="shared" si="3"/>
        <v>6.7442277254880527E-3</v>
      </c>
    </row>
    <row r="90" spans="1:9" ht="15" customHeight="1" x14ac:dyDescent="0.25">
      <c r="A90" s="8" t="s">
        <v>112</v>
      </c>
      <c r="B90" s="8" t="s">
        <v>153</v>
      </c>
      <c r="C90" s="4">
        <v>203200.94999999995</v>
      </c>
      <c r="D90" s="4">
        <v>430524.92999999976</v>
      </c>
      <c r="E90" s="4">
        <v>643580.1599999998</v>
      </c>
      <c r="F90" s="4">
        <v>809116.30999999959</v>
      </c>
      <c r="G90" s="4">
        <v>594236.84000000008</v>
      </c>
      <c r="H90" s="5">
        <f t="shared" si="2"/>
        <v>2680659.1899999995</v>
      </c>
      <c r="I90" s="7">
        <f t="shared" si="3"/>
        <v>1.9544268894494662E-2</v>
      </c>
    </row>
    <row r="91" spans="1:9" ht="15" customHeight="1" x14ac:dyDescent="0.25">
      <c r="A91" s="8" t="s">
        <v>113</v>
      </c>
      <c r="B91" s="8" t="s">
        <v>153</v>
      </c>
      <c r="C91" s="4">
        <v>29553.599999999999</v>
      </c>
      <c r="D91" s="4">
        <v>111342.29000000001</v>
      </c>
      <c r="E91" s="4">
        <v>134744.41</v>
      </c>
      <c r="F91" s="4">
        <v>262457.78999999998</v>
      </c>
      <c r="G91" s="4">
        <v>336357.83</v>
      </c>
      <c r="H91" s="5">
        <f t="shared" si="2"/>
        <v>874455.92000000016</v>
      </c>
      <c r="I91" s="7">
        <f t="shared" si="3"/>
        <v>6.3755219987001481E-3</v>
      </c>
    </row>
    <row r="92" spans="1:9" ht="15" customHeight="1" x14ac:dyDescent="0.25">
      <c r="A92" s="8" t="s">
        <v>114</v>
      </c>
      <c r="B92" s="8" t="s">
        <v>153</v>
      </c>
      <c r="C92" s="4">
        <v>7927.2</v>
      </c>
      <c r="D92" s="4">
        <v>21570</v>
      </c>
      <c r="E92" s="4">
        <v>0</v>
      </c>
      <c r="F92" s="4">
        <v>40567.699999999997</v>
      </c>
      <c r="G92" s="4">
        <v>61735.88</v>
      </c>
      <c r="H92" s="5">
        <f t="shared" si="2"/>
        <v>131800.78</v>
      </c>
      <c r="I92" s="7">
        <f t="shared" si="3"/>
        <v>9.6093897144162326E-4</v>
      </c>
    </row>
    <row r="93" spans="1:9" ht="15" customHeight="1" x14ac:dyDescent="0.25">
      <c r="A93" s="8" t="s">
        <v>115</v>
      </c>
      <c r="B93" s="8" t="s">
        <v>153</v>
      </c>
      <c r="C93" s="4">
        <v>-57377.289999999994</v>
      </c>
      <c r="D93" s="4">
        <v>-428376.35000000009</v>
      </c>
      <c r="E93" s="4">
        <v>-341407.74000000005</v>
      </c>
      <c r="F93" s="4">
        <v>-626054.35000000009</v>
      </c>
      <c r="G93" s="4">
        <v>-679485.25999999989</v>
      </c>
      <c r="H93" s="5">
        <f t="shared" si="2"/>
        <v>-2132700.9900000002</v>
      </c>
      <c r="I93" s="7">
        <f t="shared" si="3"/>
        <v>-1.5549190951094005E-2</v>
      </c>
    </row>
    <row r="94" spans="1:9" ht="15" customHeight="1" x14ac:dyDescent="0.25">
      <c r="A94" s="8" t="s">
        <v>116</v>
      </c>
      <c r="B94" s="8" t="s">
        <v>153</v>
      </c>
      <c r="C94" s="4">
        <v>17806.920000000002</v>
      </c>
      <c r="D94" s="4">
        <v>10278.23</v>
      </c>
      <c r="E94" s="4">
        <v>7104.96</v>
      </c>
      <c r="F94" s="4">
        <v>13204</v>
      </c>
      <c r="G94" s="4">
        <v>14843.96</v>
      </c>
      <c r="H94" s="5">
        <f t="shared" si="2"/>
        <v>63238.07</v>
      </c>
      <c r="I94" s="7">
        <f t="shared" si="3"/>
        <v>4.6105892500600807E-4</v>
      </c>
    </row>
    <row r="95" spans="1:9" ht="15" customHeight="1" x14ac:dyDescent="0.25">
      <c r="A95" s="8" t="s">
        <v>117</v>
      </c>
      <c r="B95" s="8" t="s">
        <v>153</v>
      </c>
      <c r="C95" s="4">
        <v>59272.80999999999</v>
      </c>
      <c r="D95" s="4">
        <v>139719.41000000003</v>
      </c>
      <c r="E95" s="4">
        <v>77468.789999999994</v>
      </c>
      <c r="F95" s="4">
        <v>805723.57000000018</v>
      </c>
      <c r="G95" s="4">
        <v>62155.65</v>
      </c>
      <c r="H95" s="5">
        <f t="shared" si="2"/>
        <v>1144340.23</v>
      </c>
      <c r="I95" s="7">
        <f t="shared" si="3"/>
        <v>8.343206493887749E-3</v>
      </c>
    </row>
    <row r="96" spans="1:9" ht="15" customHeight="1" x14ac:dyDescent="0.25">
      <c r="A96" s="8" t="s">
        <v>118</v>
      </c>
      <c r="B96" s="8" t="s">
        <v>153</v>
      </c>
      <c r="C96" s="4">
        <v>31146.29</v>
      </c>
      <c r="D96" s="4">
        <v>26345.680000000004</v>
      </c>
      <c r="E96" s="4">
        <v>43780.44</v>
      </c>
      <c r="F96" s="4">
        <v>247093.09000000003</v>
      </c>
      <c r="G96" s="4">
        <v>19096.950000000008</v>
      </c>
      <c r="H96" s="5">
        <f t="shared" si="2"/>
        <v>367462.45</v>
      </c>
      <c r="I96" s="7">
        <f t="shared" si="3"/>
        <v>2.6791115253370951E-3</v>
      </c>
    </row>
    <row r="97" spans="1:9" ht="15" customHeight="1" x14ac:dyDescent="0.25">
      <c r="A97" s="8" t="s">
        <v>119</v>
      </c>
      <c r="B97" s="8" t="s">
        <v>153</v>
      </c>
      <c r="C97" s="4">
        <v>40204.85</v>
      </c>
      <c r="D97" s="4">
        <v>495711.47000000003</v>
      </c>
      <c r="E97" s="4">
        <v>266467.86000000004</v>
      </c>
      <c r="F97" s="4">
        <v>371257.60000000003</v>
      </c>
      <c r="G97" s="4">
        <v>285463.22000000003</v>
      </c>
      <c r="H97" s="5">
        <f t="shared" si="2"/>
        <v>1459105.0000000002</v>
      </c>
      <c r="I97" s="7">
        <f t="shared" si="3"/>
        <v>1.0638107437037397E-2</v>
      </c>
    </row>
    <row r="98" spans="1:9" ht="15" customHeight="1" x14ac:dyDescent="0.25">
      <c r="A98" s="8" t="s">
        <v>120</v>
      </c>
      <c r="B98" s="8" t="s">
        <v>153</v>
      </c>
      <c r="C98" s="4">
        <v>35015</v>
      </c>
      <c r="D98" s="4">
        <v>104865.97000000002</v>
      </c>
      <c r="E98" s="4">
        <v>106820.07000000002</v>
      </c>
      <c r="F98" s="4">
        <v>258651.43000000005</v>
      </c>
      <c r="G98" s="4">
        <v>295300.03999999998</v>
      </c>
      <c r="H98" s="5">
        <f t="shared" si="2"/>
        <v>800652.51</v>
      </c>
      <c r="I98" s="7">
        <f t="shared" si="3"/>
        <v>5.8374328243091878E-3</v>
      </c>
    </row>
    <row r="99" spans="1:9" ht="15" customHeight="1" x14ac:dyDescent="0.25">
      <c r="A99" s="8" t="s">
        <v>121</v>
      </c>
      <c r="B99" s="8" t="s">
        <v>153</v>
      </c>
      <c r="C99" s="4">
        <v>0</v>
      </c>
      <c r="D99" s="4">
        <v>-905.95</v>
      </c>
      <c r="E99" s="4">
        <v>0</v>
      </c>
      <c r="F99" s="4">
        <v>0</v>
      </c>
      <c r="G99" s="4">
        <v>-313.91000000000003</v>
      </c>
      <c r="H99" s="5">
        <f t="shared" si="2"/>
        <v>-1219.8600000000001</v>
      </c>
      <c r="I99" s="7">
        <f t="shared" si="3"/>
        <v>-8.8938093818775476E-6</v>
      </c>
    </row>
    <row r="100" spans="1:9" ht="15" customHeight="1" x14ac:dyDescent="0.25">
      <c r="A100" s="8" t="s">
        <v>122</v>
      </c>
      <c r="B100" s="8" t="s">
        <v>153</v>
      </c>
      <c r="C100" s="4">
        <v>6625.68</v>
      </c>
      <c r="D100" s="4">
        <v>9780</v>
      </c>
      <c r="E100" s="4">
        <v>0</v>
      </c>
      <c r="F100" s="4">
        <v>5508</v>
      </c>
      <c r="G100" s="4">
        <v>6202.7999999999993</v>
      </c>
      <c r="H100" s="5">
        <f t="shared" si="2"/>
        <v>28116.48</v>
      </c>
      <c r="I100" s="7">
        <f t="shared" si="3"/>
        <v>2.0499287919054023E-4</v>
      </c>
    </row>
    <row r="101" spans="1:9" ht="15" customHeight="1" x14ac:dyDescent="0.25">
      <c r="A101" s="8" t="s">
        <v>123</v>
      </c>
      <c r="B101" s="8" t="s">
        <v>153</v>
      </c>
      <c r="C101" s="4">
        <v>367.2</v>
      </c>
      <c r="D101" s="4">
        <v>561.87</v>
      </c>
      <c r="E101" s="4">
        <v>1981.98</v>
      </c>
      <c r="F101" s="4">
        <v>0</v>
      </c>
      <c r="G101" s="4">
        <v>0</v>
      </c>
      <c r="H101" s="5">
        <f t="shared" si="2"/>
        <v>2911.05</v>
      </c>
      <c r="I101" s="7">
        <f t="shared" si="3"/>
        <v>2.1224012428569372E-5</v>
      </c>
    </row>
    <row r="102" spans="1:9" ht="15" customHeight="1" x14ac:dyDescent="0.25">
      <c r="A102" s="8" t="s">
        <v>124</v>
      </c>
      <c r="B102" s="8" t="s">
        <v>153</v>
      </c>
      <c r="C102" s="4">
        <v>20228.989999999998</v>
      </c>
      <c r="D102" s="4">
        <v>25167.829999999994</v>
      </c>
      <c r="E102" s="4">
        <v>60678.149999999994</v>
      </c>
      <c r="F102" s="4">
        <v>51701.27</v>
      </c>
      <c r="G102" s="4">
        <v>28381.999999999996</v>
      </c>
      <c r="H102" s="5">
        <f t="shared" si="2"/>
        <v>186158.24</v>
      </c>
      <c r="I102" s="7">
        <f t="shared" si="3"/>
        <v>1.3572507512549078E-3</v>
      </c>
    </row>
    <row r="103" spans="1:9" ht="15" customHeight="1" x14ac:dyDescent="0.25">
      <c r="A103" s="8" t="s">
        <v>125</v>
      </c>
      <c r="B103" s="8" t="s">
        <v>153</v>
      </c>
      <c r="C103" s="4">
        <v>178590.27000000002</v>
      </c>
      <c r="D103" s="4">
        <v>32803.69</v>
      </c>
      <c r="E103" s="4">
        <v>31417.260000000002</v>
      </c>
      <c r="F103" s="4">
        <v>35668.730000000003</v>
      </c>
      <c r="G103" s="4">
        <v>76209.349999999977</v>
      </c>
      <c r="H103" s="5">
        <f t="shared" si="2"/>
        <v>354689.3</v>
      </c>
      <c r="I103" s="7">
        <f t="shared" si="3"/>
        <v>2.5859844769002831E-3</v>
      </c>
    </row>
    <row r="104" spans="1:9" ht="15" customHeight="1" x14ac:dyDescent="0.25">
      <c r="A104" s="8" t="s">
        <v>126</v>
      </c>
      <c r="B104" s="8" t="s">
        <v>153</v>
      </c>
      <c r="C104" s="4">
        <v>123291.91</v>
      </c>
      <c r="D104" s="4">
        <v>203564.41999999998</v>
      </c>
      <c r="E104" s="4">
        <v>116383.60999999999</v>
      </c>
      <c r="F104" s="4">
        <v>581318.32999999984</v>
      </c>
      <c r="G104" s="4">
        <v>316473.74999999988</v>
      </c>
      <c r="H104" s="5">
        <f t="shared" si="2"/>
        <v>1341032.0199999996</v>
      </c>
      <c r="I104" s="7">
        <f t="shared" si="3"/>
        <v>9.7772557185858977E-3</v>
      </c>
    </row>
    <row r="105" spans="1:9" ht="15" customHeight="1" x14ac:dyDescent="0.25">
      <c r="A105" s="8" t="s">
        <v>127</v>
      </c>
      <c r="B105" s="8" t="s">
        <v>153</v>
      </c>
      <c r="C105" s="4">
        <v>-1547</v>
      </c>
      <c r="D105" s="4">
        <v>17407.2</v>
      </c>
      <c r="E105" s="4">
        <v>0</v>
      </c>
      <c r="F105" s="4">
        <v>21253.120000000003</v>
      </c>
      <c r="G105" s="4">
        <v>15784.78</v>
      </c>
      <c r="H105" s="5">
        <f t="shared" si="2"/>
        <v>52898.100000000006</v>
      </c>
      <c r="I105" s="7">
        <f t="shared" si="3"/>
        <v>3.8567181321093953E-4</v>
      </c>
    </row>
    <row r="106" spans="1:9" ht="15" customHeight="1" x14ac:dyDescent="0.25">
      <c r="A106" s="8" t="s">
        <v>128</v>
      </c>
      <c r="B106" s="8" t="s">
        <v>153</v>
      </c>
      <c r="C106" s="4">
        <v>5566.9500000000007</v>
      </c>
      <c r="D106" s="4">
        <v>-1990.2800000000007</v>
      </c>
      <c r="E106" s="4">
        <v>-112.8</v>
      </c>
      <c r="F106" s="4">
        <v>6273.5400000000009</v>
      </c>
      <c r="G106" s="4">
        <v>-1736.7400000000002</v>
      </c>
      <c r="H106" s="5">
        <f t="shared" si="2"/>
        <v>8000.67</v>
      </c>
      <c r="I106" s="7">
        <f t="shared" si="3"/>
        <v>5.8331639620371378E-5</v>
      </c>
    </row>
    <row r="107" spans="1:9" ht="15" customHeight="1" x14ac:dyDescent="0.25">
      <c r="A107" s="8" t="s">
        <v>129</v>
      </c>
      <c r="B107" s="8" t="s">
        <v>153</v>
      </c>
      <c r="C107" s="4">
        <v>167369.51999999999</v>
      </c>
      <c r="D107" s="4">
        <v>330310.99000000011</v>
      </c>
      <c r="E107" s="4">
        <v>2155960.2699999996</v>
      </c>
      <c r="F107" s="4">
        <v>839528.35</v>
      </c>
      <c r="G107" s="4">
        <v>1071728.21</v>
      </c>
      <c r="H107" s="5">
        <f t="shared" si="2"/>
        <v>4564897.34</v>
      </c>
      <c r="I107" s="7">
        <f t="shared" si="3"/>
        <v>3.3281955953797855E-2</v>
      </c>
    </row>
    <row r="108" spans="1:9" ht="15" customHeight="1" x14ac:dyDescent="0.25">
      <c r="A108" s="8" t="s">
        <v>130</v>
      </c>
      <c r="B108" s="8" t="s">
        <v>153</v>
      </c>
      <c r="C108" s="4">
        <v>3132.7200000000003</v>
      </c>
      <c r="D108" s="4">
        <v>1729.6</v>
      </c>
      <c r="E108" s="4">
        <v>0</v>
      </c>
      <c r="F108" s="4">
        <v>12157.080000000002</v>
      </c>
      <c r="G108" s="4">
        <v>3298.8</v>
      </c>
      <c r="H108" s="5">
        <f t="shared" si="2"/>
        <v>20318.2</v>
      </c>
      <c r="I108" s="7">
        <f t="shared" si="3"/>
        <v>1.4813683355701832E-4</v>
      </c>
    </row>
    <row r="109" spans="1:9" ht="15" customHeight="1" x14ac:dyDescent="0.25">
      <c r="A109" s="8" t="s">
        <v>131</v>
      </c>
      <c r="B109" s="8" t="s">
        <v>153</v>
      </c>
      <c r="C109" s="4">
        <v>14885.5</v>
      </c>
      <c r="D109" s="4">
        <v>9280.6</v>
      </c>
      <c r="E109" s="4">
        <v>13670.880000000001</v>
      </c>
      <c r="F109" s="4">
        <v>27037.56</v>
      </c>
      <c r="G109" s="4">
        <v>3420</v>
      </c>
      <c r="H109" s="5">
        <f t="shared" si="2"/>
        <v>68294.539999999994</v>
      </c>
      <c r="I109" s="7">
        <f t="shared" si="3"/>
        <v>4.9792486070779547E-4</v>
      </c>
    </row>
    <row r="110" spans="1:9" ht="15" customHeight="1" x14ac:dyDescent="0.25">
      <c r="A110" s="8" t="s">
        <v>132</v>
      </c>
      <c r="B110" s="8" t="s">
        <v>153</v>
      </c>
      <c r="C110" s="4">
        <v>30600.769999999997</v>
      </c>
      <c r="D110" s="4">
        <v>93291.53</v>
      </c>
      <c r="E110" s="4">
        <v>181830.74</v>
      </c>
      <c r="F110" s="4">
        <v>238291.35000000006</v>
      </c>
      <c r="G110" s="4">
        <v>132691.94</v>
      </c>
      <c r="H110" s="5">
        <f t="shared" si="2"/>
        <v>676706.33000000007</v>
      </c>
      <c r="I110" s="7">
        <f t="shared" si="3"/>
        <v>4.9337605188545597E-3</v>
      </c>
    </row>
    <row r="111" spans="1:9" ht="15" customHeight="1" x14ac:dyDescent="0.25">
      <c r="A111" s="8" t="s">
        <v>133</v>
      </c>
      <c r="B111" s="8" t="s">
        <v>153</v>
      </c>
      <c r="C111" s="4">
        <v>6608.15</v>
      </c>
      <c r="D111" s="4">
        <v>12428.219999999998</v>
      </c>
      <c r="E111" s="4">
        <v>1145.7</v>
      </c>
      <c r="F111" s="4">
        <v>65720.13</v>
      </c>
      <c r="G111" s="4">
        <v>31920.2</v>
      </c>
      <c r="H111" s="5">
        <f t="shared" si="2"/>
        <v>117822.39999999999</v>
      </c>
      <c r="I111" s="7">
        <f t="shared" si="3"/>
        <v>8.5902477867569142E-4</v>
      </c>
    </row>
    <row r="112" spans="1:9" ht="15" customHeight="1" x14ac:dyDescent="0.25">
      <c r="A112" s="8" t="s">
        <v>134</v>
      </c>
      <c r="B112" s="8" t="s">
        <v>153</v>
      </c>
      <c r="C112" s="4">
        <v>0</v>
      </c>
      <c r="D112" s="4">
        <v>552.41999999999996</v>
      </c>
      <c r="E112" s="4">
        <v>0</v>
      </c>
      <c r="F112" s="4">
        <v>282.14999999999998</v>
      </c>
      <c r="G112" s="4">
        <v>-1008</v>
      </c>
      <c r="H112" s="5">
        <f t="shared" si="2"/>
        <v>-173.43000000000006</v>
      </c>
      <c r="I112" s="7">
        <f t="shared" si="3"/>
        <v>-1.2644511346376006E-6</v>
      </c>
    </row>
    <row r="113" spans="1:9" ht="15" customHeight="1" x14ac:dyDescent="0.25">
      <c r="A113" s="8" t="s">
        <v>135</v>
      </c>
      <c r="B113" s="8" t="s">
        <v>153</v>
      </c>
      <c r="C113" s="4">
        <v>184110.88999999996</v>
      </c>
      <c r="D113" s="4">
        <v>239410.02999999997</v>
      </c>
      <c r="E113" s="4">
        <v>141816.99</v>
      </c>
      <c r="F113" s="4">
        <v>419161.69000000006</v>
      </c>
      <c r="G113" s="4">
        <v>455327.80000000005</v>
      </c>
      <c r="H113" s="5">
        <f t="shared" si="2"/>
        <v>1439827.4</v>
      </c>
      <c r="I113" s="7">
        <f t="shared" si="3"/>
        <v>1.0497557456105089E-2</v>
      </c>
    </row>
    <row r="114" spans="1:9" ht="15" customHeight="1" x14ac:dyDescent="0.25">
      <c r="A114" s="8" t="s">
        <v>136</v>
      </c>
      <c r="B114" s="8" t="s">
        <v>153</v>
      </c>
      <c r="C114" s="4">
        <v>242194.06000000006</v>
      </c>
      <c r="D114" s="4">
        <v>481817.34999999992</v>
      </c>
      <c r="E114" s="4">
        <v>313694.01000000024</v>
      </c>
      <c r="F114" s="4">
        <v>1173392.8799999994</v>
      </c>
      <c r="G114" s="4">
        <v>629784.65</v>
      </c>
      <c r="H114" s="5">
        <f t="shared" si="2"/>
        <v>2840882.9499999997</v>
      </c>
      <c r="I114" s="7">
        <f t="shared" si="3"/>
        <v>2.0712435388918368E-2</v>
      </c>
    </row>
    <row r="115" spans="1:9" ht="15" customHeight="1" x14ac:dyDescent="0.25">
      <c r="A115" s="8" t="s">
        <v>137</v>
      </c>
      <c r="B115" s="8" t="s">
        <v>153</v>
      </c>
      <c r="C115" s="4">
        <v>-2880.75</v>
      </c>
      <c r="D115" s="4">
        <v>586.5</v>
      </c>
      <c r="E115" s="4">
        <v>168.15000000000009</v>
      </c>
      <c r="F115" s="4">
        <v>639367.8600000001</v>
      </c>
      <c r="G115" s="4">
        <v>1041.6199999999999</v>
      </c>
      <c r="H115" s="5">
        <f t="shared" si="2"/>
        <v>638283.38000000012</v>
      </c>
      <c r="I115" s="7">
        <f t="shared" si="3"/>
        <v>4.6536247711544869E-3</v>
      </c>
    </row>
    <row r="116" spans="1:9" ht="15" customHeight="1" x14ac:dyDescent="0.25">
      <c r="A116" s="8" t="s">
        <v>138</v>
      </c>
      <c r="B116" s="8" t="s">
        <v>153</v>
      </c>
      <c r="C116" s="4">
        <v>40589.300000000003</v>
      </c>
      <c r="D116" s="4">
        <v>80932.469999999972</v>
      </c>
      <c r="E116" s="4">
        <v>105907.36999999995</v>
      </c>
      <c r="F116" s="4">
        <v>212083.38999999998</v>
      </c>
      <c r="G116" s="4">
        <v>71390.100000000006</v>
      </c>
      <c r="H116" s="5">
        <f t="shared" si="2"/>
        <v>510902.62999999989</v>
      </c>
      <c r="I116" s="7">
        <f t="shared" si="3"/>
        <v>3.7249115504401423E-3</v>
      </c>
    </row>
    <row r="117" spans="1:9" ht="15" customHeight="1" x14ac:dyDescent="0.25">
      <c r="A117" s="8" t="s">
        <v>139</v>
      </c>
      <c r="B117" s="8" t="s">
        <v>153</v>
      </c>
      <c r="C117" s="4">
        <v>0</v>
      </c>
      <c r="D117" s="4">
        <v>3183.2999999999997</v>
      </c>
      <c r="E117" s="4">
        <v>0</v>
      </c>
      <c r="F117" s="4">
        <v>2508</v>
      </c>
      <c r="G117" s="4">
        <v>1317.12</v>
      </c>
      <c r="H117" s="5">
        <f t="shared" si="2"/>
        <v>7008.4199999999992</v>
      </c>
      <c r="I117" s="7">
        <f t="shared" si="3"/>
        <v>5.1097299319707368E-5</v>
      </c>
    </row>
    <row r="118" spans="1:9" ht="15" customHeight="1" x14ac:dyDescent="0.25">
      <c r="A118" s="8" t="s">
        <v>140</v>
      </c>
      <c r="B118" s="8" t="s">
        <v>153</v>
      </c>
      <c r="C118" s="4">
        <v>13123.17</v>
      </c>
      <c r="D118" s="4">
        <v>11296.41</v>
      </c>
      <c r="E118" s="4">
        <v>31550.960000000003</v>
      </c>
      <c r="F118" s="4">
        <v>43185.06</v>
      </c>
      <c r="G118" s="4">
        <v>67700.859999999986</v>
      </c>
      <c r="H118" s="5">
        <f t="shared" si="2"/>
        <v>166856.46</v>
      </c>
      <c r="I118" s="7">
        <f t="shared" si="3"/>
        <v>1.2165244777063561E-3</v>
      </c>
    </row>
    <row r="119" spans="1:9" ht="15" customHeight="1" x14ac:dyDescent="0.25">
      <c r="A119" s="8" t="s">
        <v>141</v>
      </c>
      <c r="B119" s="8" t="s">
        <v>153</v>
      </c>
      <c r="C119" s="4">
        <v>35147.729999999996</v>
      </c>
      <c r="D119" s="4">
        <v>55632.62</v>
      </c>
      <c r="E119" s="4">
        <v>78028.38</v>
      </c>
      <c r="F119" s="4">
        <v>184289.95000000004</v>
      </c>
      <c r="G119" s="4">
        <v>60512.09</v>
      </c>
      <c r="H119" s="5">
        <f t="shared" si="2"/>
        <v>413610.77</v>
      </c>
      <c r="I119" s="7">
        <f t="shared" si="3"/>
        <v>3.0155717432095454E-3</v>
      </c>
    </row>
    <row r="120" spans="1:9" ht="15" customHeight="1" x14ac:dyDescent="0.25">
      <c r="A120" s="8" t="s">
        <v>142</v>
      </c>
      <c r="B120" s="8" t="s">
        <v>153</v>
      </c>
      <c r="C120" s="4">
        <v>12234.2</v>
      </c>
      <c r="D120" s="4">
        <v>23512.27</v>
      </c>
      <c r="E120" s="4">
        <v>1091.4000000000001</v>
      </c>
      <c r="F120" s="4">
        <v>148123.84</v>
      </c>
      <c r="G120" s="4">
        <v>18121.72</v>
      </c>
      <c r="H120" s="5">
        <f t="shared" si="2"/>
        <v>203083.43</v>
      </c>
      <c r="I120" s="7">
        <f t="shared" si="3"/>
        <v>1.4806496770431623E-3</v>
      </c>
    </row>
    <row r="121" spans="1:9" ht="15" customHeight="1" x14ac:dyDescent="0.25">
      <c r="A121" s="8" t="s">
        <v>143</v>
      </c>
      <c r="B121" s="8" t="s">
        <v>153</v>
      </c>
      <c r="C121" s="4">
        <v>54567.640000000007</v>
      </c>
      <c r="D121" s="4">
        <v>71123.81</v>
      </c>
      <c r="E121" s="4">
        <v>218286.68</v>
      </c>
      <c r="F121" s="4">
        <v>248265.21999999997</v>
      </c>
      <c r="G121" s="4">
        <v>95268.510000000009</v>
      </c>
      <c r="H121" s="5">
        <f t="shared" si="2"/>
        <v>687511.86</v>
      </c>
      <c r="I121" s="7">
        <f t="shared" si="3"/>
        <v>5.0125419561425754E-3</v>
      </c>
    </row>
    <row r="122" spans="1:9" ht="15" customHeight="1" x14ac:dyDescent="0.25">
      <c r="A122" s="8" t="s">
        <v>144</v>
      </c>
      <c r="B122" s="8" t="s">
        <v>153</v>
      </c>
      <c r="C122" s="4">
        <v>10157.64</v>
      </c>
      <c r="D122" s="4">
        <v>11293.920000000002</v>
      </c>
      <c r="E122" s="4">
        <v>1932</v>
      </c>
      <c r="F122" s="4">
        <v>14388.640000000001</v>
      </c>
      <c r="G122" s="4">
        <v>-5751.3999999999969</v>
      </c>
      <c r="H122" s="5">
        <f t="shared" si="2"/>
        <v>32020.800000000007</v>
      </c>
      <c r="I122" s="7">
        <f t="shared" si="3"/>
        <v>2.3345866858100488E-4</v>
      </c>
    </row>
    <row r="123" spans="1:9" ht="15" customHeight="1" x14ac:dyDescent="0.25">
      <c r="A123" s="8" t="s">
        <v>145</v>
      </c>
      <c r="B123" s="8" t="s">
        <v>153</v>
      </c>
      <c r="C123" s="4">
        <v>74485.129999999976</v>
      </c>
      <c r="D123" s="4">
        <v>109840.06</v>
      </c>
      <c r="E123" s="4">
        <v>50275.499999999993</v>
      </c>
      <c r="F123" s="4">
        <v>194934.69999999998</v>
      </c>
      <c r="G123" s="4">
        <v>234241.04000000007</v>
      </c>
      <c r="H123" s="5">
        <f t="shared" si="2"/>
        <v>663776.43000000005</v>
      </c>
      <c r="I123" s="7">
        <f t="shared" si="3"/>
        <v>4.8394906305667743E-3</v>
      </c>
    </row>
    <row r="124" spans="1:9" ht="15" customHeight="1" x14ac:dyDescent="0.25">
      <c r="A124" s="8" t="s">
        <v>146</v>
      </c>
      <c r="B124" s="8" t="s">
        <v>153</v>
      </c>
      <c r="C124" s="4">
        <v>0</v>
      </c>
      <c r="D124" s="4">
        <v>-2370.1999999999998</v>
      </c>
      <c r="E124" s="4">
        <v>1341.3</v>
      </c>
      <c r="F124" s="4">
        <v>-1098.21</v>
      </c>
      <c r="G124" s="4">
        <v>-8380.8799999999992</v>
      </c>
      <c r="H124" s="5">
        <f t="shared" si="2"/>
        <v>-10507.989999999998</v>
      </c>
      <c r="I124" s="7">
        <f t="shared" si="3"/>
        <v>-7.6612119461803342E-5</v>
      </c>
    </row>
    <row r="125" spans="1:9" ht="15" customHeight="1" x14ac:dyDescent="0.25">
      <c r="A125" s="8" t="s">
        <v>147</v>
      </c>
      <c r="B125" s="8" t="s">
        <v>153</v>
      </c>
      <c r="C125" s="4">
        <v>70227.579999999987</v>
      </c>
      <c r="D125" s="4">
        <v>141251.10999999999</v>
      </c>
      <c r="E125" s="4">
        <v>63511.630000000005</v>
      </c>
      <c r="F125" s="4">
        <v>1409636.3300000005</v>
      </c>
      <c r="G125" s="4">
        <v>165606.89000000001</v>
      </c>
      <c r="H125" s="5">
        <f t="shared" si="2"/>
        <v>1850233.5400000005</v>
      </c>
      <c r="I125" s="7">
        <f t="shared" si="3"/>
        <v>1.348976474080346E-2</v>
      </c>
    </row>
    <row r="126" spans="1:9" ht="15" customHeight="1" x14ac:dyDescent="0.25">
      <c r="A126" s="8" t="s">
        <v>148</v>
      </c>
      <c r="B126" s="8" t="s">
        <v>153</v>
      </c>
      <c r="C126" s="4">
        <v>0</v>
      </c>
      <c r="D126" s="4">
        <v>3369.6</v>
      </c>
      <c r="E126" s="4">
        <v>0</v>
      </c>
      <c r="F126" s="4">
        <v>0</v>
      </c>
      <c r="G126" s="4">
        <v>1633.44</v>
      </c>
      <c r="H126" s="5">
        <f t="shared" si="2"/>
        <v>5003.04</v>
      </c>
      <c r="I126" s="7">
        <f t="shared" si="3"/>
        <v>3.6476385888469692E-5</v>
      </c>
    </row>
    <row r="127" spans="1:9" ht="15" customHeight="1" x14ac:dyDescent="0.25">
      <c r="A127" s="8" t="s">
        <v>149</v>
      </c>
      <c r="B127" s="8" t="s">
        <v>153</v>
      </c>
      <c r="C127" s="4">
        <v>22631.5</v>
      </c>
      <c r="D127" s="4">
        <v>22544.9</v>
      </c>
      <c r="E127" s="4">
        <v>796.51000000000022</v>
      </c>
      <c r="F127" s="4">
        <v>5772.78</v>
      </c>
      <c r="G127" s="4">
        <v>715.49</v>
      </c>
      <c r="H127" s="5">
        <f t="shared" si="2"/>
        <v>52461.18</v>
      </c>
      <c r="I127" s="7">
        <f t="shared" si="3"/>
        <v>3.8248629750001369E-4</v>
      </c>
    </row>
    <row r="128" spans="1:9" ht="15" customHeight="1" x14ac:dyDescent="0.25">
      <c r="A128" s="8" t="s">
        <v>150</v>
      </c>
      <c r="B128" s="8" t="s">
        <v>153</v>
      </c>
      <c r="C128" s="4">
        <v>50647.9</v>
      </c>
      <c r="D128" s="4">
        <v>183662.94999999998</v>
      </c>
      <c r="E128" s="4">
        <v>13411.98</v>
      </c>
      <c r="F128" s="4">
        <v>9959.5500000000011</v>
      </c>
      <c r="G128" s="4">
        <v>105499.25000000001</v>
      </c>
      <c r="H128" s="5">
        <f t="shared" si="2"/>
        <v>363181.63</v>
      </c>
      <c r="I128" s="7">
        <f t="shared" si="3"/>
        <v>2.6479007330509892E-3</v>
      </c>
    </row>
    <row r="129" spans="1:9" ht="15" customHeight="1" x14ac:dyDescent="0.25">
      <c r="A129" s="8" t="s">
        <v>151</v>
      </c>
      <c r="B129" s="8" t="s">
        <v>153</v>
      </c>
      <c r="C129" s="4">
        <v>783</v>
      </c>
      <c r="D129" s="4">
        <v>0</v>
      </c>
      <c r="E129" s="4">
        <v>0</v>
      </c>
      <c r="F129" s="4">
        <v>2853.6</v>
      </c>
      <c r="G129" s="4">
        <v>0</v>
      </c>
      <c r="H129" s="5">
        <f t="shared" si="2"/>
        <v>3636.6</v>
      </c>
      <c r="I129" s="7">
        <f t="shared" si="3"/>
        <v>2.6513884542599877E-5</v>
      </c>
    </row>
    <row r="130" spans="1:9" ht="15" customHeight="1" x14ac:dyDescent="0.25">
      <c r="A130" s="8" t="s">
        <v>152</v>
      </c>
      <c r="B130" s="8" t="s">
        <v>153</v>
      </c>
      <c r="C130" s="4">
        <v>61053.19</v>
      </c>
      <c r="D130" s="4">
        <v>182003.84999999992</v>
      </c>
      <c r="E130" s="4">
        <v>61889.310000000005</v>
      </c>
      <c r="F130" s="4">
        <v>499069.32000000012</v>
      </c>
      <c r="G130" s="4">
        <v>246206.22000000009</v>
      </c>
      <c r="H130" s="5">
        <f t="shared" si="2"/>
        <v>1050221.8900000001</v>
      </c>
      <c r="I130" s="7">
        <f t="shared" si="3"/>
        <v>7.6570043270007783E-3</v>
      </c>
    </row>
    <row r="131" spans="1:9" x14ac:dyDescent="0.25">
      <c r="A131">
        <f>COUNTA(A5:A130)</f>
        <v>126</v>
      </c>
      <c r="H131" s="5">
        <f>SUM(H5:H130)</f>
        <v>137158325.25999999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E7A0-A234-4009-9075-5520CF9F5F19}">
  <dimension ref="A1:W128"/>
  <sheetViews>
    <sheetView workbookViewId="0">
      <pane xSplit="1" topLeftCell="P1" activePane="topRight" state="frozen"/>
      <selection pane="topRight" activeCell="W121" sqref="W121"/>
    </sheetView>
  </sheetViews>
  <sheetFormatPr baseColWidth="10" defaultColWidth="9.140625" defaultRowHeight="15" x14ac:dyDescent="0.25"/>
  <cols>
    <col min="1" max="1" width="25.42578125" bestFit="1" customWidth="1"/>
    <col min="2" max="2" width="26.5703125" bestFit="1" customWidth="1"/>
    <col min="3" max="3" width="32.140625" bestFit="1" customWidth="1"/>
    <col min="4" max="4" width="42.85546875" bestFit="1" customWidth="1"/>
    <col min="5" max="5" width="23" bestFit="1" customWidth="1"/>
    <col min="6" max="6" width="42.28515625" bestFit="1" customWidth="1"/>
    <col min="7" max="7" width="22.42578125" bestFit="1" customWidth="1"/>
    <col min="8" max="8" width="30" bestFit="1" customWidth="1"/>
    <col min="9" max="9" width="29.7109375" bestFit="1" customWidth="1"/>
    <col min="10" max="10" width="26.5703125" bestFit="1" customWidth="1"/>
    <col min="11" max="11" width="36.85546875" bestFit="1" customWidth="1"/>
    <col min="12" max="12" width="20.28515625" bestFit="1" customWidth="1"/>
    <col min="13" max="13" width="25" bestFit="1" customWidth="1"/>
    <col min="14" max="14" width="22.28515625" bestFit="1" customWidth="1"/>
    <col min="15" max="15" width="43.85546875" bestFit="1" customWidth="1"/>
    <col min="16" max="16" width="35" bestFit="1" customWidth="1"/>
    <col min="17" max="17" width="29.140625" bestFit="1" customWidth="1"/>
    <col min="18" max="18" width="22.85546875" bestFit="1" customWidth="1"/>
    <col min="19" max="19" width="31.5703125" bestFit="1" customWidth="1"/>
    <col min="20" max="20" width="41.28515625" bestFit="1" customWidth="1"/>
    <col min="21" max="21" width="31.85546875" bestFit="1" customWidth="1"/>
    <col min="22" max="22" width="28" customWidth="1"/>
    <col min="23" max="23" width="36.7109375" customWidth="1"/>
  </cols>
  <sheetData>
    <row r="1" spans="1:23" ht="12.95" customHeight="1" x14ac:dyDescent="0.25">
      <c r="A1" s="2" t="s">
        <v>26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8" t="s">
        <v>154</v>
      </c>
      <c r="W1" s="8" t="s">
        <v>164</v>
      </c>
    </row>
    <row r="2" spans="1:23" ht="15" customHeight="1" x14ac:dyDescent="0.25">
      <c r="A2" s="3" t="s">
        <v>27</v>
      </c>
      <c r="B2" s="6">
        <f>'Importe $ (Distribuidores)'!C5/'Importe $ (Distribuidores)'!C$131</f>
        <v>0</v>
      </c>
      <c r="C2" s="6">
        <f>'Importe $ (Distribuidores)'!D5/'Importe $ (Distribuidores)'!D$131</f>
        <v>0</v>
      </c>
      <c r="D2" s="6">
        <f>'Importe $ (Distribuidores)'!E5/'Importe $ (Distribuidores)'!E$131</f>
        <v>0</v>
      </c>
      <c r="E2" s="6">
        <f>'Importe $ (Distribuidores)'!F5/'Importe $ (Distribuidores)'!F$131</f>
        <v>8.609716115382792E-4</v>
      </c>
      <c r="F2" s="6">
        <f>'Importe $ (Distribuidores)'!G5/'Importe $ (Distribuidores)'!G$131</f>
        <v>0</v>
      </c>
      <c r="G2" s="6">
        <f>'Importe $ (Distribuidores)'!H5/'Importe $ (Distribuidores)'!H$131</f>
        <v>0</v>
      </c>
      <c r="H2" s="6">
        <f>'Importe $ (Distribuidores)'!I5/'Importe $ (Distribuidores)'!I$131</f>
        <v>3.5819874541401123E-4</v>
      </c>
      <c r="I2" s="6">
        <f>'Importe $ (Distribuidores)'!J5/'Importe $ (Distribuidores)'!J$131</f>
        <v>0</v>
      </c>
      <c r="J2" s="6">
        <f>'Importe $ (Distribuidores)'!K5/'Importe $ (Distribuidores)'!K$131</f>
        <v>0</v>
      </c>
      <c r="K2" s="6">
        <f>'Importe $ (Distribuidores)'!L5/'Importe $ (Distribuidores)'!L$131</f>
        <v>0</v>
      </c>
      <c r="L2" s="6">
        <f>'Importe $ (Distribuidores)'!M5/'Importe $ (Distribuidores)'!M$131</f>
        <v>0</v>
      </c>
      <c r="M2" s="6">
        <f>'Importe $ (Distribuidores)'!N5/'Importe $ (Distribuidores)'!N$131</f>
        <v>0</v>
      </c>
      <c r="N2" s="6">
        <f>'Importe $ (Distribuidores)'!O5/'Importe $ (Distribuidores)'!O$131</f>
        <v>0</v>
      </c>
      <c r="O2" s="6">
        <f>'Importe $ (Distribuidores)'!P5/'Importe $ (Distribuidores)'!P$131</f>
        <v>7.3978827963996967E-5</v>
      </c>
      <c r="P2" s="6">
        <f>'Importe $ (Distribuidores)'!Q5/'Importe $ (Distribuidores)'!Q$131</f>
        <v>0</v>
      </c>
      <c r="Q2" s="6">
        <f>'Importe $ (Distribuidores)'!R5/'Importe $ (Distribuidores)'!R$131</f>
        <v>0</v>
      </c>
      <c r="R2" s="6">
        <f>'Importe $ (Distribuidores)'!S5/'Importe $ (Distribuidores)'!S$131</f>
        <v>0</v>
      </c>
      <c r="S2" s="6">
        <f>'Importe $ (Distribuidores)'!T5/'Importe $ (Distribuidores)'!T$131</f>
        <v>0</v>
      </c>
      <c r="T2" s="6">
        <f>'Importe $ (Distribuidores)'!U5/'Importe $ (Distribuidores)'!U$131</f>
        <v>0</v>
      </c>
      <c r="U2" s="6">
        <f>'Importe $ (Distribuidores)'!V5/'Importe $ (Distribuidores)'!V$131</f>
        <v>1.0499436055714227E-3</v>
      </c>
      <c r="V2" s="7">
        <f>AVERAGE(B2:U2)</f>
        <v>1.1715463952438551E-4</v>
      </c>
      <c r="W2" s="7">
        <v>1.3042044634250735E-4</v>
      </c>
    </row>
    <row r="3" spans="1:23" ht="15" customHeight="1" x14ac:dyDescent="0.25">
      <c r="A3" s="3" t="s">
        <v>28</v>
      </c>
      <c r="B3" s="6">
        <f>'Importe $ (Distribuidores)'!C6/'Importe $ (Distribuidores)'!C$131</f>
        <v>2.5035857215381227E-3</v>
      </c>
      <c r="C3" s="6">
        <f>'Importe $ (Distribuidores)'!D6/'Importe $ (Distribuidores)'!D$131</f>
        <v>0</v>
      </c>
      <c r="D3" s="6">
        <f>'Importe $ (Distribuidores)'!E6/'Importe $ (Distribuidores)'!E$131</f>
        <v>7.2832498723997708E-3</v>
      </c>
      <c r="E3" s="6">
        <f>'Importe $ (Distribuidores)'!F6/'Importe $ (Distribuidores)'!F$131</f>
        <v>4.2950341508417936E-3</v>
      </c>
      <c r="F3" s="6">
        <f>'Importe $ (Distribuidores)'!G6/'Importe $ (Distribuidores)'!G$131</f>
        <v>0</v>
      </c>
      <c r="G3" s="6">
        <f>'Importe $ (Distribuidores)'!H6/'Importe $ (Distribuidores)'!H$131</f>
        <v>0</v>
      </c>
      <c r="H3" s="6">
        <f>'Importe $ (Distribuidores)'!I6/'Importe $ (Distribuidores)'!I$131</f>
        <v>1.1806628647451827E-3</v>
      </c>
      <c r="I3" s="6">
        <f>'Importe $ (Distribuidores)'!J6/'Importe $ (Distribuidores)'!J$131</f>
        <v>0</v>
      </c>
      <c r="J3" s="6">
        <f>'Importe $ (Distribuidores)'!K6/'Importe $ (Distribuidores)'!K$131</f>
        <v>1.987981898305056E-3</v>
      </c>
      <c r="K3" s="6">
        <f>'Importe $ (Distribuidores)'!L6/'Importe $ (Distribuidores)'!L$131</f>
        <v>-8.6753726052043252E-4</v>
      </c>
      <c r="L3" s="6">
        <f>'Importe $ (Distribuidores)'!M6/'Importe $ (Distribuidores)'!M$131</f>
        <v>6.0403913782936291E-3</v>
      </c>
      <c r="M3" s="6">
        <f>'Importe $ (Distribuidores)'!N6/'Importe $ (Distribuidores)'!N$131</f>
        <v>0</v>
      </c>
      <c r="N3" s="6">
        <f>'Importe $ (Distribuidores)'!O6/'Importe $ (Distribuidores)'!O$131</f>
        <v>2.0257371547281463E-2</v>
      </c>
      <c r="O3" s="6">
        <f>'Importe $ (Distribuidores)'!P6/'Importe $ (Distribuidores)'!P$131</f>
        <v>5.1727969281172397E-3</v>
      </c>
      <c r="P3" s="6">
        <f>'Importe $ (Distribuidores)'!Q6/'Importe $ (Distribuidores)'!Q$131</f>
        <v>0</v>
      </c>
      <c r="Q3" s="6">
        <f>'Importe $ (Distribuidores)'!R6/'Importe $ (Distribuidores)'!R$131</f>
        <v>6.2760840229494725E-3</v>
      </c>
      <c r="R3" s="6">
        <f>'Importe $ (Distribuidores)'!S6/'Importe $ (Distribuidores)'!S$131</f>
        <v>1.344667771034028E-3</v>
      </c>
      <c r="S3" s="6">
        <f>'Importe $ (Distribuidores)'!T6/'Importe $ (Distribuidores)'!T$131</f>
        <v>0</v>
      </c>
      <c r="T3" s="6">
        <f>'Importe $ (Distribuidores)'!U6/'Importe $ (Distribuidores)'!U$131</f>
        <v>8.5852320084632908E-3</v>
      </c>
      <c r="U3" s="6">
        <f>'Importe $ (Distribuidores)'!V6/'Importe $ (Distribuidores)'!V$131</f>
        <v>7.3930266355693554E-3</v>
      </c>
      <c r="V3" s="7">
        <f t="shared" ref="V3:V66" si="0">AVERAGE(B3:U3)</f>
        <v>3.5726273769508981E-3</v>
      </c>
      <c r="W3" s="7">
        <v>5.8677286156300799E-3</v>
      </c>
    </row>
    <row r="4" spans="1:23" ht="15" customHeight="1" x14ac:dyDescent="0.25">
      <c r="A4" s="3" t="s">
        <v>29</v>
      </c>
      <c r="B4" s="6">
        <f>'Importe $ (Distribuidores)'!C7/'Importe $ (Distribuidores)'!C$131</f>
        <v>0</v>
      </c>
      <c r="C4" s="6">
        <f>'Importe $ (Distribuidores)'!D7/'Importe $ (Distribuidores)'!D$131</f>
        <v>0</v>
      </c>
      <c r="D4" s="6">
        <f>'Importe $ (Distribuidores)'!E7/'Importe $ (Distribuidores)'!E$131</f>
        <v>1.7598238633131633E-3</v>
      </c>
      <c r="E4" s="6">
        <f>'Importe $ (Distribuidores)'!F7/'Importe $ (Distribuidores)'!F$131</f>
        <v>-6.5036470963891551E-4</v>
      </c>
      <c r="F4" s="6">
        <f>'Importe $ (Distribuidores)'!G7/'Importe $ (Distribuidores)'!G$131</f>
        <v>0</v>
      </c>
      <c r="G4" s="6">
        <f>'Importe $ (Distribuidores)'!H7/'Importe $ (Distribuidores)'!H$131</f>
        <v>0</v>
      </c>
      <c r="H4" s="6">
        <f>'Importe $ (Distribuidores)'!I7/'Importe $ (Distribuidores)'!I$131</f>
        <v>8.7412433839199205E-4</v>
      </c>
      <c r="I4" s="6">
        <f>'Importe $ (Distribuidores)'!J7/'Importe $ (Distribuidores)'!J$131</f>
        <v>0</v>
      </c>
      <c r="J4" s="6">
        <f>'Importe $ (Distribuidores)'!K7/'Importe $ (Distribuidores)'!K$131</f>
        <v>1.0211737184349047E-3</v>
      </c>
      <c r="K4" s="6">
        <f>'Importe $ (Distribuidores)'!L7/'Importe $ (Distribuidores)'!L$131</f>
        <v>0</v>
      </c>
      <c r="L4" s="6">
        <f>'Importe $ (Distribuidores)'!M7/'Importe $ (Distribuidores)'!M$131</f>
        <v>1.1984069215549488E-3</v>
      </c>
      <c r="M4" s="6">
        <f>'Importe $ (Distribuidores)'!N7/'Importe $ (Distribuidores)'!N$131</f>
        <v>0</v>
      </c>
      <c r="N4" s="6">
        <f>'Importe $ (Distribuidores)'!O7/'Importe $ (Distribuidores)'!O$131</f>
        <v>-3.1288780932974919E-4</v>
      </c>
      <c r="O4" s="6">
        <f>'Importe $ (Distribuidores)'!P7/'Importe $ (Distribuidores)'!P$131</f>
        <v>7.6079826678174473E-4</v>
      </c>
      <c r="P4" s="6">
        <f>'Importe $ (Distribuidores)'!Q7/'Importe $ (Distribuidores)'!Q$131</f>
        <v>0</v>
      </c>
      <c r="Q4" s="6">
        <f>'Importe $ (Distribuidores)'!R7/'Importe $ (Distribuidores)'!R$131</f>
        <v>0</v>
      </c>
      <c r="R4" s="6">
        <f>'Importe $ (Distribuidores)'!S7/'Importe $ (Distribuidores)'!S$131</f>
        <v>2.3893819416018577E-4</v>
      </c>
      <c r="S4" s="6">
        <f>'Importe $ (Distribuidores)'!T7/'Importe $ (Distribuidores)'!T$131</f>
        <v>0</v>
      </c>
      <c r="T4" s="6">
        <f>'Importe $ (Distribuidores)'!U7/'Importe $ (Distribuidores)'!U$131</f>
        <v>0</v>
      </c>
      <c r="U4" s="6">
        <f>'Importe $ (Distribuidores)'!V7/'Importe $ (Distribuidores)'!V$131</f>
        <v>2.7049394584212919E-4</v>
      </c>
      <c r="V4" s="7">
        <f t="shared" si="0"/>
        <v>2.5802533647552019E-4</v>
      </c>
      <c r="W4" s="7">
        <v>1.0199680532319733E-3</v>
      </c>
    </row>
    <row r="5" spans="1:23" ht="15" customHeight="1" x14ac:dyDescent="0.25">
      <c r="A5" s="3" t="s">
        <v>30</v>
      </c>
      <c r="B5" s="6">
        <f>'Importe $ (Distribuidores)'!C8/'Importe $ (Distribuidores)'!C$131</f>
        <v>1.8146493629134235E-3</v>
      </c>
      <c r="C5" s="6">
        <f>'Importe $ (Distribuidores)'!D8/'Importe $ (Distribuidores)'!D$131</f>
        <v>0</v>
      </c>
      <c r="D5" s="6">
        <f>'Importe $ (Distribuidores)'!E8/'Importe $ (Distribuidores)'!E$131</f>
        <v>0</v>
      </c>
      <c r="E5" s="6">
        <f>'Importe $ (Distribuidores)'!F8/'Importe $ (Distribuidores)'!F$131</f>
        <v>3.259445217578108E-20</v>
      </c>
      <c r="F5" s="6">
        <f>'Importe $ (Distribuidores)'!G8/'Importe $ (Distribuidores)'!G$131</f>
        <v>0</v>
      </c>
      <c r="G5" s="6">
        <f>'Importe $ (Distribuidores)'!H8/'Importe $ (Distribuidores)'!H$131</f>
        <v>0</v>
      </c>
      <c r="H5" s="6">
        <f>'Importe $ (Distribuidores)'!I8/'Importe $ (Distribuidores)'!I$131</f>
        <v>1.631794284663829E-4</v>
      </c>
      <c r="I5" s="6">
        <f>'Importe $ (Distribuidores)'!J8/'Importe $ (Distribuidores)'!J$131</f>
        <v>0</v>
      </c>
      <c r="J5" s="6">
        <f>'Importe $ (Distribuidores)'!K8/'Importe $ (Distribuidores)'!K$131</f>
        <v>7.1537465500624506E-4</v>
      </c>
      <c r="K5" s="6">
        <f>'Importe $ (Distribuidores)'!L8/'Importe $ (Distribuidores)'!L$131</f>
        <v>0</v>
      </c>
      <c r="L5" s="6">
        <f>'Importe $ (Distribuidores)'!M8/'Importe $ (Distribuidores)'!M$131</f>
        <v>0</v>
      </c>
      <c r="M5" s="6">
        <f>'Importe $ (Distribuidores)'!N8/'Importe $ (Distribuidores)'!N$131</f>
        <v>0</v>
      </c>
      <c r="N5" s="6">
        <f>'Importe $ (Distribuidores)'!O8/'Importe $ (Distribuidores)'!O$131</f>
        <v>0</v>
      </c>
      <c r="O5" s="6">
        <f>'Importe $ (Distribuidores)'!P8/'Importe $ (Distribuidores)'!P$131</f>
        <v>2.9824317897592162E-3</v>
      </c>
      <c r="P5" s="6">
        <f>'Importe $ (Distribuidores)'!Q8/'Importe $ (Distribuidores)'!Q$131</f>
        <v>0</v>
      </c>
      <c r="Q5" s="6">
        <f>'Importe $ (Distribuidores)'!R8/'Importe $ (Distribuidores)'!R$131</f>
        <v>0</v>
      </c>
      <c r="R5" s="6">
        <f>'Importe $ (Distribuidores)'!S8/'Importe $ (Distribuidores)'!S$131</f>
        <v>0</v>
      </c>
      <c r="S5" s="6">
        <f>'Importe $ (Distribuidores)'!T8/'Importe $ (Distribuidores)'!T$131</f>
        <v>1.5998067153549009E-5</v>
      </c>
      <c r="T5" s="6">
        <f>'Importe $ (Distribuidores)'!U8/'Importe $ (Distribuidores)'!U$131</f>
        <v>0</v>
      </c>
      <c r="U5" s="6">
        <f>'Importe $ (Distribuidores)'!V8/'Importe $ (Distribuidores)'!V$131</f>
        <v>0</v>
      </c>
      <c r="V5" s="7">
        <f t="shared" si="0"/>
        <v>2.8458166516494082E-4</v>
      </c>
      <c r="W5" s="7">
        <v>2.6467646007768123E-4</v>
      </c>
    </row>
    <row r="6" spans="1:23" ht="15" customHeight="1" x14ac:dyDescent="0.25">
      <c r="A6" s="3" t="s">
        <v>31</v>
      </c>
      <c r="B6" s="6">
        <f>'Importe $ (Distribuidores)'!C9/'Importe $ (Distribuidores)'!C$131</f>
        <v>0</v>
      </c>
      <c r="C6" s="6">
        <f>'Importe $ (Distribuidores)'!D9/'Importe $ (Distribuidores)'!D$131</f>
        <v>0</v>
      </c>
      <c r="D6" s="6">
        <f>'Importe $ (Distribuidores)'!E9/'Importe $ (Distribuidores)'!E$131</f>
        <v>0</v>
      </c>
      <c r="E6" s="6">
        <f>'Importe $ (Distribuidores)'!F9/'Importe $ (Distribuidores)'!F$131</f>
        <v>0</v>
      </c>
      <c r="F6" s="6">
        <f>'Importe $ (Distribuidores)'!G9/'Importe $ (Distribuidores)'!G$131</f>
        <v>0</v>
      </c>
      <c r="G6" s="6">
        <f>'Importe $ (Distribuidores)'!H9/'Importe $ (Distribuidores)'!H$131</f>
        <v>0</v>
      </c>
      <c r="H6" s="6">
        <f>'Importe $ (Distribuidores)'!I9/'Importe $ (Distribuidores)'!I$131</f>
        <v>-2.2590297501182342E-5</v>
      </c>
      <c r="I6" s="6">
        <f>'Importe $ (Distribuidores)'!J9/'Importe $ (Distribuidores)'!J$131</f>
        <v>0</v>
      </c>
      <c r="J6" s="6">
        <f>'Importe $ (Distribuidores)'!K9/'Importe $ (Distribuidores)'!K$131</f>
        <v>7.2918334442728349E-5</v>
      </c>
      <c r="K6" s="6">
        <f>'Importe $ (Distribuidores)'!L9/'Importe $ (Distribuidores)'!L$131</f>
        <v>0</v>
      </c>
      <c r="L6" s="6">
        <f>'Importe $ (Distribuidores)'!M9/'Importe $ (Distribuidores)'!M$131</f>
        <v>0</v>
      </c>
      <c r="M6" s="6">
        <f>'Importe $ (Distribuidores)'!N9/'Importe $ (Distribuidores)'!N$131</f>
        <v>0</v>
      </c>
      <c r="N6" s="6">
        <f>'Importe $ (Distribuidores)'!O9/'Importe $ (Distribuidores)'!O$131</f>
        <v>0</v>
      </c>
      <c r="O6" s="6">
        <f>'Importe $ (Distribuidores)'!P9/'Importe $ (Distribuidores)'!P$131</f>
        <v>0</v>
      </c>
      <c r="P6" s="6">
        <f>'Importe $ (Distribuidores)'!Q9/'Importe $ (Distribuidores)'!Q$131</f>
        <v>0</v>
      </c>
      <c r="Q6" s="6">
        <f>'Importe $ (Distribuidores)'!R9/'Importe $ (Distribuidores)'!R$131</f>
        <v>0</v>
      </c>
      <c r="R6" s="6">
        <f>'Importe $ (Distribuidores)'!S9/'Importe $ (Distribuidores)'!S$131</f>
        <v>0</v>
      </c>
      <c r="S6" s="6">
        <f>'Importe $ (Distribuidores)'!T9/'Importe $ (Distribuidores)'!T$131</f>
        <v>0</v>
      </c>
      <c r="T6" s="6">
        <f>'Importe $ (Distribuidores)'!U9/'Importe $ (Distribuidores)'!U$131</f>
        <v>0</v>
      </c>
      <c r="U6" s="6">
        <f>'Importe $ (Distribuidores)'!V9/'Importe $ (Distribuidores)'!V$131</f>
        <v>0</v>
      </c>
      <c r="V6" s="7">
        <f t="shared" si="0"/>
        <v>2.5164018470773004E-6</v>
      </c>
      <c r="W6" s="7">
        <v>1.7683490924829334E-4</v>
      </c>
    </row>
    <row r="7" spans="1:23" ht="15" customHeight="1" x14ac:dyDescent="0.25">
      <c r="A7" s="3" t="s">
        <v>32</v>
      </c>
      <c r="B7" s="6">
        <f>'Importe $ (Distribuidores)'!C10/'Importe $ (Distribuidores)'!C$131</f>
        <v>0</v>
      </c>
      <c r="C7" s="6">
        <f>'Importe $ (Distribuidores)'!D10/'Importe $ (Distribuidores)'!D$131</f>
        <v>0</v>
      </c>
      <c r="D7" s="6">
        <f>'Importe $ (Distribuidores)'!E10/'Importe $ (Distribuidores)'!E$131</f>
        <v>5.2236041657073269E-3</v>
      </c>
      <c r="E7" s="6">
        <f>'Importe $ (Distribuidores)'!F10/'Importe $ (Distribuidores)'!F$131</f>
        <v>3.5296524643794302E-3</v>
      </c>
      <c r="F7" s="6">
        <f>'Importe $ (Distribuidores)'!G10/'Importe $ (Distribuidores)'!G$131</f>
        <v>0</v>
      </c>
      <c r="G7" s="6">
        <f>'Importe $ (Distribuidores)'!H10/'Importe $ (Distribuidores)'!H$131</f>
        <v>0</v>
      </c>
      <c r="H7" s="6">
        <f>'Importe $ (Distribuidores)'!I10/'Importe $ (Distribuidores)'!I$131</f>
        <v>8.8641055535969276E-3</v>
      </c>
      <c r="I7" s="6">
        <f>'Importe $ (Distribuidores)'!J10/'Importe $ (Distribuidores)'!J$131</f>
        <v>0</v>
      </c>
      <c r="J7" s="6">
        <f>'Importe $ (Distribuidores)'!K10/'Importe $ (Distribuidores)'!K$131</f>
        <v>3.7152419792297964E-3</v>
      </c>
      <c r="K7" s="6">
        <f>'Importe $ (Distribuidores)'!L10/'Importe $ (Distribuidores)'!L$131</f>
        <v>0</v>
      </c>
      <c r="L7" s="6">
        <f>'Importe $ (Distribuidores)'!M10/'Importe $ (Distribuidores)'!M$131</f>
        <v>-2.0640982372571422E-3</v>
      </c>
      <c r="M7" s="6">
        <f>'Importe $ (Distribuidores)'!N10/'Importe $ (Distribuidores)'!N$131</f>
        <v>0</v>
      </c>
      <c r="N7" s="6">
        <f>'Importe $ (Distribuidores)'!O10/'Importe $ (Distribuidores)'!O$131</f>
        <v>1.1860139259053332E-3</v>
      </c>
      <c r="O7" s="6">
        <f>'Importe $ (Distribuidores)'!P10/'Importe $ (Distribuidores)'!P$131</f>
        <v>8.079079844292179E-3</v>
      </c>
      <c r="P7" s="6">
        <f>'Importe $ (Distribuidores)'!Q10/'Importe $ (Distribuidores)'!Q$131</f>
        <v>2.4548921403394999E-2</v>
      </c>
      <c r="Q7" s="6">
        <f>'Importe $ (Distribuidores)'!R10/'Importe $ (Distribuidores)'!R$131</f>
        <v>0</v>
      </c>
      <c r="R7" s="6">
        <f>'Importe $ (Distribuidores)'!S10/'Importe $ (Distribuidores)'!S$131</f>
        <v>1.0974389338795903E-3</v>
      </c>
      <c r="S7" s="6">
        <f>'Importe $ (Distribuidores)'!T10/'Importe $ (Distribuidores)'!T$131</f>
        <v>3.4836843731270977E-3</v>
      </c>
      <c r="T7" s="6">
        <f>'Importe $ (Distribuidores)'!U10/'Importe $ (Distribuidores)'!U$131</f>
        <v>0</v>
      </c>
      <c r="U7" s="6">
        <f>'Importe $ (Distribuidores)'!V10/'Importe $ (Distribuidores)'!V$131</f>
        <v>3.1946758656302E-3</v>
      </c>
      <c r="V7" s="7">
        <f t="shared" si="0"/>
        <v>3.0429160135942873E-3</v>
      </c>
      <c r="W7" s="7">
        <v>4.4051483484845826E-3</v>
      </c>
    </row>
    <row r="8" spans="1:23" ht="15" customHeight="1" x14ac:dyDescent="0.25">
      <c r="A8" s="3" t="s">
        <v>33</v>
      </c>
      <c r="B8" s="6">
        <f>'Importe $ (Distribuidores)'!C11/'Importe $ (Distribuidores)'!C$131</f>
        <v>0</v>
      </c>
      <c r="C8" s="6">
        <f>'Importe $ (Distribuidores)'!D11/'Importe $ (Distribuidores)'!D$131</f>
        <v>0</v>
      </c>
      <c r="D8" s="6">
        <f>'Importe $ (Distribuidores)'!E11/'Importe $ (Distribuidores)'!E$131</f>
        <v>0</v>
      </c>
      <c r="E8" s="6">
        <f>'Importe $ (Distribuidores)'!F11/'Importe $ (Distribuidores)'!F$131</f>
        <v>0</v>
      </c>
      <c r="F8" s="6">
        <f>'Importe $ (Distribuidores)'!G11/'Importe $ (Distribuidores)'!G$131</f>
        <v>0</v>
      </c>
      <c r="G8" s="6">
        <f>'Importe $ (Distribuidores)'!H11/'Importe $ (Distribuidores)'!H$131</f>
        <v>0</v>
      </c>
      <c r="H8" s="6">
        <f>'Importe $ (Distribuidores)'!I11/'Importe $ (Distribuidores)'!I$131</f>
        <v>0</v>
      </c>
      <c r="I8" s="6">
        <f>'Importe $ (Distribuidores)'!J11/'Importe $ (Distribuidores)'!J$131</f>
        <v>0</v>
      </c>
      <c r="J8" s="6">
        <f>'Importe $ (Distribuidores)'!K11/'Importe $ (Distribuidores)'!K$131</f>
        <v>0</v>
      </c>
      <c r="K8" s="6">
        <f>'Importe $ (Distribuidores)'!L11/'Importe $ (Distribuidores)'!L$131</f>
        <v>0</v>
      </c>
      <c r="L8" s="6">
        <f>'Importe $ (Distribuidores)'!M11/'Importe $ (Distribuidores)'!M$131</f>
        <v>0</v>
      </c>
      <c r="M8" s="6">
        <f>'Importe $ (Distribuidores)'!N11/'Importe $ (Distribuidores)'!N$131</f>
        <v>0</v>
      </c>
      <c r="N8" s="6">
        <f>'Importe $ (Distribuidores)'!O11/'Importe $ (Distribuidores)'!O$131</f>
        <v>0</v>
      </c>
      <c r="O8" s="6">
        <f>'Importe $ (Distribuidores)'!P11/'Importe $ (Distribuidores)'!P$131</f>
        <v>6.331793442145194E-4</v>
      </c>
      <c r="P8" s="6">
        <f>'Importe $ (Distribuidores)'!Q11/'Importe $ (Distribuidores)'!Q$131</f>
        <v>0</v>
      </c>
      <c r="Q8" s="6">
        <f>'Importe $ (Distribuidores)'!R11/'Importe $ (Distribuidores)'!R$131</f>
        <v>0</v>
      </c>
      <c r="R8" s="6">
        <f>'Importe $ (Distribuidores)'!S11/'Importe $ (Distribuidores)'!S$131</f>
        <v>0</v>
      </c>
      <c r="S8" s="6">
        <f>'Importe $ (Distribuidores)'!T11/'Importe $ (Distribuidores)'!T$131</f>
        <v>0</v>
      </c>
      <c r="T8" s="6">
        <f>'Importe $ (Distribuidores)'!U11/'Importe $ (Distribuidores)'!U$131</f>
        <v>0</v>
      </c>
      <c r="U8" s="6">
        <f>'Importe $ (Distribuidores)'!V11/'Importe $ (Distribuidores)'!V$131</f>
        <v>0</v>
      </c>
      <c r="V8" s="7">
        <f t="shared" si="0"/>
        <v>3.1658967210725967E-5</v>
      </c>
      <c r="W8" s="7">
        <v>7.4915821409468845E-3</v>
      </c>
    </row>
    <row r="9" spans="1:23" ht="15" customHeight="1" x14ac:dyDescent="0.25">
      <c r="A9" s="3" t="s">
        <v>34</v>
      </c>
      <c r="B9" s="6">
        <f>'Importe $ (Distribuidores)'!C12/'Importe $ (Distribuidores)'!C$131</f>
        <v>2.3709450980278317E-2</v>
      </c>
      <c r="C9" s="6">
        <f>'Importe $ (Distribuidores)'!D12/'Importe $ (Distribuidores)'!D$131</f>
        <v>5.2008238295895674E-2</v>
      </c>
      <c r="D9" s="6">
        <f>'Importe $ (Distribuidores)'!E12/'Importe $ (Distribuidores)'!E$131</f>
        <v>1.096646500219471E-2</v>
      </c>
      <c r="E9" s="6">
        <f>'Importe $ (Distribuidores)'!F12/'Importe $ (Distribuidores)'!F$131</f>
        <v>1.1740913326254505E-2</v>
      </c>
      <c r="F9" s="6">
        <f>'Importe $ (Distribuidores)'!G12/'Importe $ (Distribuidores)'!G$131</f>
        <v>1.726028618107428E-2</v>
      </c>
      <c r="G9" s="6">
        <f>'Importe $ (Distribuidores)'!H12/'Importe $ (Distribuidores)'!H$131</f>
        <v>0</v>
      </c>
      <c r="H9" s="6">
        <f>'Importe $ (Distribuidores)'!I12/'Importe $ (Distribuidores)'!I$131</f>
        <v>7.8941607248408097E-3</v>
      </c>
      <c r="I9" s="6">
        <f>'Importe $ (Distribuidores)'!J12/'Importe $ (Distribuidores)'!J$131</f>
        <v>0</v>
      </c>
      <c r="J9" s="6">
        <f>'Importe $ (Distribuidores)'!K12/'Importe $ (Distribuidores)'!K$131</f>
        <v>1.7662174753920092E-2</v>
      </c>
      <c r="K9" s="6">
        <f>'Importe $ (Distribuidores)'!L12/'Importe $ (Distribuidores)'!L$131</f>
        <v>1.72557889629835E-2</v>
      </c>
      <c r="L9" s="6">
        <f>'Importe $ (Distribuidores)'!M12/'Importe $ (Distribuidores)'!M$131</f>
        <v>-4.7335776424232657E-3</v>
      </c>
      <c r="M9" s="6">
        <f>'Importe $ (Distribuidores)'!N12/'Importe $ (Distribuidores)'!N$131</f>
        <v>0</v>
      </c>
      <c r="N9" s="6">
        <f>'Importe $ (Distribuidores)'!O12/'Importe $ (Distribuidores)'!O$131</f>
        <v>8.6333624616374231E-3</v>
      </c>
      <c r="O9" s="6">
        <f>'Importe $ (Distribuidores)'!P12/'Importe $ (Distribuidores)'!P$131</f>
        <v>7.9662797456537433E-3</v>
      </c>
      <c r="P9" s="6">
        <f>'Importe $ (Distribuidores)'!Q12/'Importe $ (Distribuidores)'!Q$131</f>
        <v>9.9758777127591339E-5</v>
      </c>
      <c r="Q9" s="6">
        <f>'Importe $ (Distribuidores)'!R12/'Importe $ (Distribuidores)'!R$131</f>
        <v>3.4762685660154787E-2</v>
      </c>
      <c r="R9" s="6">
        <f>'Importe $ (Distribuidores)'!S12/'Importe $ (Distribuidores)'!S$131</f>
        <v>1.4220781567444041E-2</v>
      </c>
      <c r="S9" s="6">
        <f>'Importe $ (Distribuidores)'!T12/'Importe $ (Distribuidores)'!T$131</f>
        <v>1.2014223112767924E-2</v>
      </c>
      <c r="T9" s="6">
        <f>'Importe $ (Distribuidores)'!U12/'Importe $ (Distribuidores)'!U$131</f>
        <v>2.5487279989757999E-2</v>
      </c>
      <c r="U9" s="6">
        <f>'Importe $ (Distribuidores)'!V12/'Importe $ (Distribuidores)'!V$131</f>
        <v>5.1529096682925617E-3</v>
      </c>
      <c r="V9" s="7">
        <f t="shared" si="0"/>
        <v>1.3105059078392736E-2</v>
      </c>
      <c r="W9" s="7">
        <v>4.0447923153651378E-3</v>
      </c>
    </row>
    <row r="10" spans="1:23" ht="15" customHeight="1" x14ac:dyDescent="0.25">
      <c r="A10" s="3" t="s">
        <v>35</v>
      </c>
      <c r="B10" s="6">
        <f>'Importe $ (Distribuidores)'!C13/'Importe $ (Distribuidores)'!C$131</f>
        <v>0</v>
      </c>
      <c r="C10" s="6">
        <f>'Importe $ (Distribuidores)'!D13/'Importe $ (Distribuidores)'!D$131</f>
        <v>0</v>
      </c>
      <c r="D10" s="6">
        <f>'Importe $ (Distribuidores)'!E13/'Importe $ (Distribuidores)'!E$131</f>
        <v>-1.7163714222437026E-4</v>
      </c>
      <c r="E10" s="6">
        <f>'Importe $ (Distribuidores)'!F13/'Importe $ (Distribuidores)'!F$131</f>
        <v>0</v>
      </c>
      <c r="F10" s="6">
        <f>'Importe $ (Distribuidores)'!G13/'Importe $ (Distribuidores)'!G$131</f>
        <v>0</v>
      </c>
      <c r="G10" s="6">
        <f>'Importe $ (Distribuidores)'!H13/'Importe $ (Distribuidores)'!H$131</f>
        <v>0</v>
      </c>
      <c r="H10" s="6">
        <f>'Importe $ (Distribuidores)'!I13/'Importe $ (Distribuidores)'!I$131</f>
        <v>0</v>
      </c>
      <c r="I10" s="6">
        <f>'Importe $ (Distribuidores)'!J13/'Importe $ (Distribuidores)'!J$131</f>
        <v>0</v>
      </c>
      <c r="J10" s="6">
        <f>'Importe $ (Distribuidores)'!K13/'Importe $ (Distribuidores)'!K$131</f>
        <v>-7.3975121898420051E-5</v>
      </c>
      <c r="K10" s="6">
        <f>'Importe $ (Distribuidores)'!L13/'Importe $ (Distribuidores)'!L$131</f>
        <v>0</v>
      </c>
      <c r="L10" s="6">
        <f>'Importe $ (Distribuidores)'!M13/'Importe $ (Distribuidores)'!M$131</f>
        <v>0</v>
      </c>
      <c r="M10" s="6">
        <f>'Importe $ (Distribuidores)'!N13/'Importe $ (Distribuidores)'!N$131</f>
        <v>0</v>
      </c>
      <c r="N10" s="6">
        <f>'Importe $ (Distribuidores)'!O13/'Importe $ (Distribuidores)'!O$131</f>
        <v>0</v>
      </c>
      <c r="O10" s="6">
        <f>'Importe $ (Distribuidores)'!P13/'Importe $ (Distribuidores)'!P$131</f>
        <v>0</v>
      </c>
      <c r="P10" s="6">
        <f>'Importe $ (Distribuidores)'!Q13/'Importe $ (Distribuidores)'!Q$131</f>
        <v>0</v>
      </c>
      <c r="Q10" s="6">
        <f>'Importe $ (Distribuidores)'!R13/'Importe $ (Distribuidores)'!R$131</f>
        <v>0</v>
      </c>
      <c r="R10" s="6">
        <f>'Importe $ (Distribuidores)'!S13/'Importe $ (Distribuidores)'!S$131</f>
        <v>0</v>
      </c>
      <c r="S10" s="6">
        <f>'Importe $ (Distribuidores)'!T13/'Importe $ (Distribuidores)'!T$131</f>
        <v>0</v>
      </c>
      <c r="T10" s="6">
        <f>'Importe $ (Distribuidores)'!U13/'Importe $ (Distribuidores)'!U$131</f>
        <v>0</v>
      </c>
      <c r="U10" s="6">
        <f>'Importe $ (Distribuidores)'!V13/'Importe $ (Distribuidores)'!V$131</f>
        <v>0</v>
      </c>
      <c r="V10" s="7">
        <f t="shared" si="0"/>
        <v>-1.2280613206139514E-5</v>
      </c>
      <c r="W10" s="7">
        <v>-1.0817425753686256E-5</v>
      </c>
    </row>
    <row r="11" spans="1:23" ht="15" customHeight="1" x14ac:dyDescent="0.25">
      <c r="A11" s="3" t="s">
        <v>36</v>
      </c>
      <c r="B11" s="6">
        <f>'Importe $ (Distribuidores)'!C14/'Importe $ (Distribuidores)'!C$131</f>
        <v>9.2437411659439372E-3</v>
      </c>
      <c r="C11" s="6">
        <f>'Importe $ (Distribuidores)'!D14/'Importe $ (Distribuidores)'!D$131</f>
        <v>0</v>
      </c>
      <c r="D11" s="6">
        <f>'Importe $ (Distribuidores)'!E14/'Importe $ (Distribuidores)'!E$131</f>
        <v>6.9461830795323814E-4</v>
      </c>
      <c r="E11" s="6">
        <f>'Importe $ (Distribuidores)'!F14/'Importe $ (Distribuidores)'!F$131</f>
        <v>1.5672994759271827E-3</v>
      </c>
      <c r="F11" s="6">
        <f>'Importe $ (Distribuidores)'!G14/'Importe $ (Distribuidores)'!G$131</f>
        <v>0</v>
      </c>
      <c r="G11" s="6">
        <f>'Importe $ (Distribuidores)'!H14/'Importe $ (Distribuidores)'!H$131</f>
        <v>0</v>
      </c>
      <c r="H11" s="6">
        <f>'Importe $ (Distribuidores)'!I14/'Importe $ (Distribuidores)'!I$131</f>
        <v>1.6452068376865531E-3</v>
      </c>
      <c r="I11" s="6">
        <f>'Importe $ (Distribuidores)'!J14/'Importe $ (Distribuidores)'!J$131</f>
        <v>0</v>
      </c>
      <c r="J11" s="6">
        <f>'Importe $ (Distribuidores)'!K14/'Importe $ (Distribuidores)'!K$131</f>
        <v>1.0324461179622823E-3</v>
      </c>
      <c r="K11" s="6">
        <f>'Importe $ (Distribuidores)'!L14/'Importe $ (Distribuidores)'!L$131</f>
        <v>1.9346370410359994E-3</v>
      </c>
      <c r="L11" s="6">
        <f>'Importe $ (Distribuidores)'!M14/'Importe $ (Distribuidores)'!M$131</f>
        <v>1.874350474677609E-3</v>
      </c>
      <c r="M11" s="6">
        <f>'Importe $ (Distribuidores)'!N14/'Importe $ (Distribuidores)'!N$131</f>
        <v>0</v>
      </c>
      <c r="N11" s="6">
        <f>'Importe $ (Distribuidores)'!O14/'Importe $ (Distribuidores)'!O$131</f>
        <v>0</v>
      </c>
      <c r="O11" s="6">
        <f>'Importe $ (Distribuidores)'!P14/'Importe $ (Distribuidores)'!P$131</f>
        <v>4.0244482412414353E-5</v>
      </c>
      <c r="P11" s="6">
        <f>'Importe $ (Distribuidores)'!Q14/'Importe $ (Distribuidores)'!Q$131</f>
        <v>0</v>
      </c>
      <c r="Q11" s="6">
        <f>'Importe $ (Distribuidores)'!R14/'Importe $ (Distribuidores)'!R$131</f>
        <v>0</v>
      </c>
      <c r="R11" s="6">
        <f>'Importe $ (Distribuidores)'!S14/'Importe $ (Distribuidores)'!S$131</f>
        <v>0</v>
      </c>
      <c r="S11" s="6">
        <f>'Importe $ (Distribuidores)'!T14/'Importe $ (Distribuidores)'!T$131</f>
        <v>-8.3147849021734995E-6</v>
      </c>
      <c r="T11" s="6">
        <f>'Importe $ (Distribuidores)'!U14/'Importe $ (Distribuidores)'!U$131</f>
        <v>0</v>
      </c>
      <c r="U11" s="6">
        <f>'Importe $ (Distribuidores)'!V14/'Importe $ (Distribuidores)'!V$131</f>
        <v>2.9723488241792566E-3</v>
      </c>
      <c r="V11" s="7">
        <f t="shared" si="0"/>
        <v>1.049828897143815E-3</v>
      </c>
      <c r="W11" s="7">
        <v>1.4997964550095876E-3</v>
      </c>
    </row>
    <row r="12" spans="1:23" ht="15" customHeight="1" x14ac:dyDescent="0.25">
      <c r="A12" s="3" t="s">
        <v>37</v>
      </c>
      <c r="B12" s="6">
        <f>'Importe $ (Distribuidores)'!C15/'Importe $ (Distribuidores)'!C$131</f>
        <v>1.2128062429794435E-3</v>
      </c>
      <c r="C12" s="6">
        <f>'Importe $ (Distribuidores)'!D15/'Importe $ (Distribuidores)'!D$131</f>
        <v>0</v>
      </c>
      <c r="D12" s="6">
        <f>'Importe $ (Distribuidores)'!E15/'Importe $ (Distribuidores)'!E$131</f>
        <v>5.9357425140231243E-3</v>
      </c>
      <c r="E12" s="6">
        <f>'Importe $ (Distribuidores)'!F15/'Importe $ (Distribuidores)'!F$131</f>
        <v>9.5967571365200167E-3</v>
      </c>
      <c r="F12" s="6">
        <f>'Importe $ (Distribuidores)'!G15/'Importe $ (Distribuidores)'!G$131</f>
        <v>0</v>
      </c>
      <c r="G12" s="6">
        <f>'Importe $ (Distribuidores)'!H15/'Importe $ (Distribuidores)'!H$131</f>
        <v>0</v>
      </c>
      <c r="H12" s="6">
        <f>'Importe $ (Distribuidores)'!I15/'Importe $ (Distribuidores)'!I$131</f>
        <v>2.5120235081670548E-3</v>
      </c>
      <c r="I12" s="6">
        <f>'Importe $ (Distribuidores)'!J15/'Importe $ (Distribuidores)'!J$131</f>
        <v>0</v>
      </c>
      <c r="J12" s="6">
        <f>'Importe $ (Distribuidores)'!K15/'Importe $ (Distribuidores)'!K$131</f>
        <v>7.7282354252938418E-3</v>
      </c>
      <c r="K12" s="6">
        <f>'Importe $ (Distribuidores)'!L15/'Importe $ (Distribuidores)'!L$131</f>
        <v>1.5464235476594975E-2</v>
      </c>
      <c r="L12" s="6">
        <f>'Importe $ (Distribuidores)'!M15/'Importe $ (Distribuidores)'!M$131</f>
        <v>-2.6992143137460579E-3</v>
      </c>
      <c r="M12" s="6">
        <f>'Importe $ (Distribuidores)'!N15/'Importe $ (Distribuidores)'!N$131</f>
        <v>0</v>
      </c>
      <c r="N12" s="6">
        <f>'Importe $ (Distribuidores)'!O15/'Importe $ (Distribuidores)'!O$131</f>
        <v>1.4156837183445226E-2</v>
      </c>
      <c r="O12" s="6">
        <f>'Importe $ (Distribuidores)'!P15/'Importe $ (Distribuidores)'!P$131</f>
        <v>1.055217348835794E-3</v>
      </c>
      <c r="P12" s="6">
        <f>'Importe $ (Distribuidores)'!Q15/'Importe $ (Distribuidores)'!Q$131</f>
        <v>1.199059408501125E-2</v>
      </c>
      <c r="Q12" s="6">
        <f>'Importe $ (Distribuidores)'!R15/'Importe $ (Distribuidores)'!R$131</f>
        <v>4.3745196518257699E-3</v>
      </c>
      <c r="R12" s="6">
        <f>'Importe $ (Distribuidores)'!S15/'Importe $ (Distribuidores)'!S$131</f>
        <v>1.0896528913804349E-2</v>
      </c>
      <c r="S12" s="6">
        <f>'Importe $ (Distribuidores)'!T15/'Importe $ (Distribuidores)'!T$131</f>
        <v>1.2871984141880394E-2</v>
      </c>
      <c r="T12" s="6">
        <f>'Importe $ (Distribuidores)'!U15/'Importe $ (Distribuidores)'!U$131</f>
        <v>-5.5289132472598158E-4</v>
      </c>
      <c r="U12" s="6">
        <f>'Importe $ (Distribuidores)'!V15/'Importe $ (Distribuidores)'!V$131</f>
        <v>1.0956547096648318E-2</v>
      </c>
      <c r="V12" s="7">
        <f t="shared" si="0"/>
        <v>5.2749961543278765E-3</v>
      </c>
      <c r="W12" s="7">
        <v>7.7307415207207245E-3</v>
      </c>
    </row>
    <row r="13" spans="1:23" ht="15" customHeight="1" x14ac:dyDescent="0.25">
      <c r="A13" s="3" t="s">
        <v>38</v>
      </c>
      <c r="B13" s="6">
        <f>'Importe $ (Distribuidores)'!C16/'Importe $ (Distribuidores)'!C$131</f>
        <v>3.6915199537002606E-3</v>
      </c>
      <c r="C13" s="6">
        <f>'Importe $ (Distribuidores)'!D16/'Importe $ (Distribuidores)'!D$131</f>
        <v>0</v>
      </c>
      <c r="D13" s="6">
        <f>'Importe $ (Distribuidores)'!E16/'Importe $ (Distribuidores)'!E$131</f>
        <v>1.9258742631143174E-3</v>
      </c>
      <c r="E13" s="6">
        <f>'Importe $ (Distribuidores)'!F16/'Importe $ (Distribuidores)'!F$131</f>
        <v>5.0996010837267298E-4</v>
      </c>
      <c r="F13" s="6">
        <f>'Importe $ (Distribuidores)'!G16/'Importe $ (Distribuidores)'!G$131</f>
        <v>0</v>
      </c>
      <c r="G13" s="6">
        <f>'Importe $ (Distribuidores)'!H16/'Importe $ (Distribuidores)'!H$131</f>
        <v>0</v>
      </c>
      <c r="H13" s="6">
        <f>'Importe $ (Distribuidores)'!I16/'Importe $ (Distribuidores)'!I$131</f>
        <v>9.0882981683654968E-4</v>
      </c>
      <c r="I13" s="6">
        <f>'Importe $ (Distribuidores)'!J16/'Importe $ (Distribuidores)'!J$131</f>
        <v>0</v>
      </c>
      <c r="J13" s="6">
        <f>'Importe $ (Distribuidores)'!K16/'Importe $ (Distribuidores)'!K$131</f>
        <v>2.0441439755444855E-3</v>
      </c>
      <c r="K13" s="6">
        <f>'Importe $ (Distribuidores)'!L16/'Importe $ (Distribuidores)'!L$131</f>
        <v>5.7321149360304441E-4</v>
      </c>
      <c r="L13" s="6">
        <f>'Importe $ (Distribuidores)'!M16/'Importe $ (Distribuidores)'!M$131</f>
        <v>-1.3718605549379009E-4</v>
      </c>
      <c r="M13" s="6">
        <f>'Importe $ (Distribuidores)'!N16/'Importe $ (Distribuidores)'!N$131</f>
        <v>0</v>
      </c>
      <c r="N13" s="6">
        <f>'Importe $ (Distribuidores)'!O16/'Importe $ (Distribuidores)'!O$131</f>
        <v>5.3782877495600128E-3</v>
      </c>
      <c r="O13" s="6">
        <f>'Importe $ (Distribuidores)'!P16/'Importe $ (Distribuidores)'!P$131</f>
        <v>4.9911049266376621E-4</v>
      </c>
      <c r="P13" s="6">
        <f>'Importe $ (Distribuidores)'!Q16/'Importe $ (Distribuidores)'!Q$131</f>
        <v>0</v>
      </c>
      <c r="Q13" s="6">
        <f>'Importe $ (Distribuidores)'!R16/'Importe $ (Distribuidores)'!R$131</f>
        <v>0</v>
      </c>
      <c r="R13" s="6">
        <f>'Importe $ (Distribuidores)'!S16/'Importe $ (Distribuidores)'!S$131</f>
        <v>6.0158396018966068E-4</v>
      </c>
      <c r="S13" s="6">
        <f>'Importe $ (Distribuidores)'!T16/'Importe $ (Distribuidores)'!T$131</f>
        <v>0</v>
      </c>
      <c r="T13" s="6">
        <f>'Importe $ (Distribuidores)'!U16/'Importe $ (Distribuidores)'!U$131</f>
        <v>0</v>
      </c>
      <c r="U13" s="6">
        <f>'Importe $ (Distribuidores)'!V16/'Importe $ (Distribuidores)'!V$131</f>
        <v>3.0015336972832761E-3</v>
      </c>
      <c r="V13" s="7">
        <f t="shared" si="0"/>
        <v>9.4984347276871298E-4</v>
      </c>
      <c r="W13" s="7">
        <v>1.8687611525886024E-3</v>
      </c>
    </row>
    <row r="14" spans="1:23" ht="15" customHeight="1" x14ac:dyDescent="0.25">
      <c r="A14" s="3" t="s">
        <v>39</v>
      </c>
      <c r="B14" s="6">
        <f>'Importe $ (Distribuidores)'!C17/'Importe $ (Distribuidores)'!C$131</f>
        <v>3.4281031106966984E-3</v>
      </c>
      <c r="C14" s="6">
        <f>'Importe $ (Distribuidores)'!D17/'Importe $ (Distribuidores)'!D$131</f>
        <v>0</v>
      </c>
      <c r="D14" s="6">
        <f>'Importe $ (Distribuidores)'!E17/'Importe $ (Distribuidores)'!E$131</f>
        <v>9.2398512188417766E-4</v>
      </c>
      <c r="E14" s="6">
        <f>'Importe $ (Distribuidores)'!F17/'Importe $ (Distribuidores)'!F$131</f>
        <v>5.4566835405634416E-3</v>
      </c>
      <c r="F14" s="6">
        <f>'Importe $ (Distribuidores)'!G17/'Importe $ (Distribuidores)'!G$131</f>
        <v>0</v>
      </c>
      <c r="G14" s="6">
        <f>'Importe $ (Distribuidores)'!H17/'Importe $ (Distribuidores)'!H$131</f>
        <v>0</v>
      </c>
      <c r="H14" s="6">
        <f>'Importe $ (Distribuidores)'!I17/'Importe $ (Distribuidores)'!I$131</f>
        <v>6.6389351472244838E-3</v>
      </c>
      <c r="I14" s="6">
        <f>'Importe $ (Distribuidores)'!J17/'Importe $ (Distribuidores)'!J$131</f>
        <v>0</v>
      </c>
      <c r="J14" s="6">
        <f>'Importe $ (Distribuidores)'!K17/'Importe $ (Distribuidores)'!K$131</f>
        <v>2.7380658452001876E-3</v>
      </c>
      <c r="K14" s="6">
        <f>'Importe $ (Distribuidores)'!L17/'Importe $ (Distribuidores)'!L$131</f>
        <v>5.262737712985798E-3</v>
      </c>
      <c r="L14" s="6">
        <f>'Importe $ (Distribuidores)'!M17/'Importe $ (Distribuidores)'!M$131</f>
        <v>3.1534396166091765E-2</v>
      </c>
      <c r="M14" s="6">
        <f>'Importe $ (Distribuidores)'!N17/'Importe $ (Distribuidores)'!N$131</f>
        <v>0</v>
      </c>
      <c r="N14" s="6">
        <f>'Importe $ (Distribuidores)'!O17/'Importe $ (Distribuidores)'!O$131</f>
        <v>4.1683139463636627E-3</v>
      </c>
      <c r="O14" s="6">
        <f>'Importe $ (Distribuidores)'!P17/'Importe $ (Distribuidores)'!P$131</f>
        <v>3.5150793510999949E-3</v>
      </c>
      <c r="P14" s="6">
        <f>'Importe $ (Distribuidores)'!Q17/'Importe $ (Distribuidores)'!Q$131</f>
        <v>1.4993703401141154E-2</v>
      </c>
      <c r="Q14" s="6">
        <f>'Importe $ (Distribuidores)'!R17/'Importe $ (Distribuidores)'!R$131</f>
        <v>0</v>
      </c>
      <c r="R14" s="6">
        <f>'Importe $ (Distribuidores)'!S17/'Importe $ (Distribuidores)'!S$131</f>
        <v>6.8653976255772682E-5</v>
      </c>
      <c r="S14" s="6">
        <f>'Importe $ (Distribuidores)'!T17/'Importe $ (Distribuidores)'!T$131</f>
        <v>1.0672394798485983E-4</v>
      </c>
      <c r="T14" s="6">
        <f>'Importe $ (Distribuidores)'!U17/'Importe $ (Distribuidores)'!U$131</f>
        <v>2.1381375763391008E-2</v>
      </c>
      <c r="U14" s="6">
        <f>'Importe $ (Distribuidores)'!V17/'Importe $ (Distribuidores)'!V$131</f>
        <v>9.9659223388492892E-3</v>
      </c>
      <c r="V14" s="7">
        <f t="shared" si="0"/>
        <v>5.5091339684866149E-3</v>
      </c>
      <c r="W14" s="7">
        <v>4.9117784773395103E-3</v>
      </c>
    </row>
    <row r="15" spans="1:23" ht="15" customHeight="1" x14ac:dyDescent="0.25">
      <c r="A15" s="3" t="s">
        <v>40</v>
      </c>
      <c r="B15" s="6">
        <f>'Importe $ (Distribuidores)'!C18/'Importe $ (Distribuidores)'!C$131</f>
        <v>0</v>
      </c>
      <c r="C15" s="6">
        <f>'Importe $ (Distribuidores)'!D18/'Importe $ (Distribuidores)'!D$131</f>
        <v>0</v>
      </c>
      <c r="D15" s="6">
        <f>'Importe $ (Distribuidores)'!E18/'Importe $ (Distribuidores)'!E$131</f>
        <v>0</v>
      </c>
      <c r="E15" s="6">
        <f>'Importe $ (Distribuidores)'!F18/'Importe $ (Distribuidores)'!F$131</f>
        <v>-5.2982868402355642E-5</v>
      </c>
      <c r="F15" s="6">
        <f>'Importe $ (Distribuidores)'!G18/'Importe $ (Distribuidores)'!G$131</f>
        <v>0</v>
      </c>
      <c r="G15" s="6">
        <f>'Importe $ (Distribuidores)'!H18/'Importe $ (Distribuidores)'!H$131</f>
        <v>0</v>
      </c>
      <c r="H15" s="6">
        <f>'Importe $ (Distribuidores)'!I18/'Importe $ (Distribuidores)'!I$131</f>
        <v>0</v>
      </c>
      <c r="I15" s="6">
        <f>'Importe $ (Distribuidores)'!J18/'Importe $ (Distribuidores)'!J$131</f>
        <v>0</v>
      </c>
      <c r="J15" s="6">
        <f>'Importe $ (Distribuidores)'!K18/'Importe $ (Distribuidores)'!K$131</f>
        <v>-3.4944438534872713E-4</v>
      </c>
      <c r="K15" s="6">
        <f>'Importe $ (Distribuidores)'!L18/'Importe $ (Distribuidores)'!L$131</f>
        <v>0</v>
      </c>
      <c r="L15" s="6">
        <f>'Importe $ (Distribuidores)'!M18/'Importe $ (Distribuidores)'!M$131</f>
        <v>0</v>
      </c>
      <c r="M15" s="6">
        <f>'Importe $ (Distribuidores)'!N18/'Importe $ (Distribuidores)'!N$131</f>
        <v>0</v>
      </c>
      <c r="N15" s="6">
        <f>'Importe $ (Distribuidores)'!O18/'Importe $ (Distribuidores)'!O$131</f>
        <v>0</v>
      </c>
      <c r="O15" s="6">
        <f>'Importe $ (Distribuidores)'!P18/'Importe $ (Distribuidores)'!P$131</f>
        <v>0</v>
      </c>
      <c r="P15" s="6">
        <f>'Importe $ (Distribuidores)'!Q18/'Importe $ (Distribuidores)'!Q$131</f>
        <v>0</v>
      </c>
      <c r="Q15" s="6">
        <f>'Importe $ (Distribuidores)'!R18/'Importe $ (Distribuidores)'!R$131</f>
        <v>0</v>
      </c>
      <c r="R15" s="6">
        <f>'Importe $ (Distribuidores)'!S18/'Importe $ (Distribuidores)'!S$131</f>
        <v>0</v>
      </c>
      <c r="S15" s="6">
        <f>'Importe $ (Distribuidores)'!T18/'Importe $ (Distribuidores)'!T$131</f>
        <v>0</v>
      </c>
      <c r="T15" s="6">
        <f>'Importe $ (Distribuidores)'!U18/'Importe $ (Distribuidores)'!U$131</f>
        <v>0</v>
      </c>
      <c r="U15" s="6">
        <f>'Importe $ (Distribuidores)'!V18/'Importe $ (Distribuidores)'!V$131</f>
        <v>0</v>
      </c>
      <c r="V15" s="7">
        <f t="shared" si="0"/>
        <v>-2.0121362687554139E-5</v>
      </c>
      <c r="W15" s="7">
        <v>-7.4868222403082444E-5</v>
      </c>
    </row>
    <row r="16" spans="1:23" ht="15" customHeight="1" x14ac:dyDescent="0.25">
      <c r="A16" s="3" t="s">
        <v>41</v>
      </c>
      <c r="B16" s="6">
        <f>'Importe $ (Distribuidores)'!C19/'Importe $ (Distribuidores)'!C$131</f>
        <v>2.25751708614375E-2</v>
      </c>
      <c r="C16" s="6">
        <f>'Importe $ (Distribuidores)'!D19/'Importe $ (Distribuidores)'!D$131</f>
        <v>0</v>
      </c>
      <c r="D16" s="6">
        <f>'Importe $ (Distribuidores)'!E19/'Importe $ (Distribuidores)'!E$131</f>
        <v>2.1785036517463722E-2</v>
      </c>
      <c r="E16" s="6">
        <f>'Importe $ (Distribuidores)'!F19/'Importe $ (Distribuidores)'!F$131</f>
        <v>5.6538010271038669E-3</v>
      </c>
      <c r="F16" s="6">
        <f>'Importe $ (Distribuidores)'!G19/'Importe $ (Distribuidores)'!G$131</f>
        <v>0</v>
      </c>
      <c r="G16" s="6">
        <f>'Importe $ (Distribuidores)'!H19/'Importe $ (Distribuidores)'!H$131</f>
        <v>0</v>
      </c>
      <c r="H16" s="6">
        <f>'Importe $ (Distribuidores)'!I19/'Importe $ (Distribuidores)'!I$131</f>
        <v>8.9294962076839745E-3</v>
      </c>
      <c r="I16" s="6">
        <f>'Importe $ (Distribuidores)'!J19/'Importe $ (Distribuidores)'!J$131</f>
        <v>0</v>
      </c>
      <c r="J16" s="6">
        <f>'Importe $ (Distribuidores)'!K19/'Importe $ (Distribuidores)'!K$131</f>
        <v>1.8013871331755582E-2</v>
      </c>
      <c r="K16" s="6">
        <f>'Importe $ (Distribuidores)'!L19/'Importe $ (Distribuidores)'!L$131</f>
        <v>6.0936048779558659E-3</v>
      </c>
      <c r="L16" s="6">
        <f>'Importe $ (Distribuidores)'!M19/'Importe $ (Distribuidores)'!M$131</f>
        <v>3.3658414749426636E-2</v>
      </c>
      <c r="M16" s="6">
        <f>'Importe $ (Distribuidores)'!N19/'Importe $ (Distribuidores)'!N$131</f>
        <v>0</v>
      </c>
      <c r="N16" s="6">
        <f>'Importe $ (Distribuidores)'!O19/'Importe $ (Distribuidores)'!O$131</f>
        <v>5.3606701927283798E-2</v>
      </c>
      <c r="O16" s="6">
        <f>'Importe $ (Distribuidores)'!P19/'Importe $ (Distribuidores)'!P$131</f>
        <v>2.2623021506702146E-2</v>
      </c>
      <c r="P16" s="6">
        <f>'Importe $ (Distribuidores)'!Q19/'Importe $ (Distribuidores)'!Q$131</f>
        <v>1.7551373602660365E-2</v>
      </c>
      <c r="Q16" s="6">
        <f>'Importe $ (Distribuidores)'!R19/'Importe $ (Distribuidores)'!R$131</f>
        <v>7.3626483493896208E-2</v>
      </c>
      <c r="R16" s="6">
        <f>'Importe $ (Distribuidores)'!S19/'Importe $ (Distribuidores)'!S$131</f>
        <v>1.1207179415679449E-2</v>
      </c>
      <c r="S16" s="6">
        <f>'Importe $ (Distribuidores)'!T19/'Importe $ (Distribuidores)'!T$131</f>
        <v>9.135738348210882E-5</v>
      </c>
      <c r="T16" s="6">
        <f>'Importe $ (Distribuidores)'!U19/'Importe $ (Distribuidores)'!U$131</f>
        <v>4.5298725989018379E-2</v>
      </c>
      <c r="U16" s="6">
        <f>'Importe $ (Distribuidores)'!V19/'Importe $ (Distribuidores)'!V$131</f>
        <v>2.6259386169580165E-2</v>
      </c>
      <c r="V16" s="7">
        <f t="shared" si="0"/>
        <v>1.8348681253056491E-2</v>
      </c>
      <c r="W16" s="7">
        <v>6.0488721222520993E-3</v>
      </c>
    </row>
    <row r="17" spans="1:23" ht="15" customHeight="1" x14ac:dyDescent="0.25">
      <c r="A17" s="3" t="s">
        <v>42</v>
      </c>
      <c r="B17" s="6">
        <f>'Importe $ (Distribuidores)'!C20/'Importe $ (Distribuidores)'!C$131</f>
        <v>2.1197789896031747E-2</v>
      </c>
      <c r="C17" s="6">
        <f>'Importe $ (Distribuidores)'!D20/'Importe $ (Distribuidores)'!D$131</f>
        <v>0</v>
      </c>
      <c r="D17" s="6">
        <f>'Importe $ (Distribuidores)'!E20/'Importe $ (Distribuidores)'!E$131</f>
        <v>7.7346896976535594E-3</v>
      </c>
      <c r="E17" s="6">
        <f>'Importe $ (Distribuidores)'!F20/'Importe $ (Distribuidores)'!F$131</f>
        <v>4.9378819160261232E-2</v>
      </c>
      <c r="F17" s="6">
        <f>'Importe $ (Distribuidores)'!G20/'Importe $ (Distribuidores)'!G$131</f>
        <v>0</v>
      </c>
      <c r="G17" s="6">
        <f>'Importe $ (Distribuidores)'!H20/'Importe $ (Distribuidores)'!H$131</f>
        <v>0</v>
      </c>
      <c r="H17" s="6">
        <f>'Importe $ (Distribuidores)'!I20/'Importe $ (Distribuidores)'!I$131</f>
        <v>1.6747104743504868E-2</v>
      </c>
      <c r="I17" s="6">
        <f>'Importe $ (Distribuidores)'!J20/'Importe $ (Distribuidores)'!J$131</f>
        <v>0</v>
      </c>
      <c r="J17" s="6">
        <f>'Importe $ (Distribuidores)'!K20/'Importe $ (Distribuidores)'!K$131</f>
        <v>1.3714708077397627E-2</v>
      </c>
      <c r="K17" s="6">
        <f>'Importe $ (Distribuidores)'!L20/'Importe $ (Distribuidores)'!L$131</f>
        <v>4.3023672105720768E-3</v>
      </c>
      <c r="L17" s="6">
        <f>'Importe $ (Distribuidores)'!M20/'Importe $ (Distribuidores)'!M$131</f>
        <v>3.53401709379072E-2</v>
      </c>
      <c r="M17" s="6">
        <f>'Importe $ (Distribuidores)'!N20/'Importe $ (Distribuidores)'!N$131</f>
        <v>0</v>
      </c>
      <c r="N17" s="6">
        <f>'Importe $ (Distribuidores)'!O20/'Importe $ (Distribuidores)'!O$131</f>
        <v>1.0738957942288397E-2</v>
      </c>
      <c r="O17" s="6">
        <f>'Importe $ (Distribuidores)'!P20/'Importe $ (Distribuidores)'!P$131</f>
        <v>5.7913585683335381E-3</v>
      </c>
      <c r="P17" s="6">
        <f>'Importe $ (Distribuidores)'!Q20/'Importe $ (Distribuidores)'!Q$131</f>
        <v>3.1310281629038685E-2</v>
      </c>
      <c r="Q17" s="6">
        <f>'Importe $ (Distribuidores)'!R20/'Importe $ (Distribuidores)'!R$131</f>
        <v>-1.9507162773239915E-2</v>
      </c>
      <c r="R17" s="6">
        <f>'Importe $ (Distribuidores)'!S20/'Importe $ (Distribuidores)'!S$131</f>
        <v>4.5967423504984515E-3</v>
      </c>
      <c r="S17" s="6">
        <f>'Importe $ (Distribuidores)'!T20/'Importe $ (Distribuidores)'!T$131</f>
        <v>6.579941869989627E-3</v>
      </c>
      <c r="T17" s="6">
        <f>'Importe $ (Distribuidores)'!U20/'Importe $ (Distribuidores)'!U$131</f>
        <v>2.9695028859111055E-2</v>
      </c>
      <c r="U17" s="6">
        <f>'Importe $ (Distribuidores)'!V20/'Importe $ (Distribuidores)'!V$131</f>
        <v>1.1422793240139355E-2</v>
      </c>
      <c r="V17" s="7">
        <f t="shared" si="0"/>
        <v>1.1452179570474376E-2</v>
      </c>
      <c r="W17" s="7">
        <v>1.0500655262958554E-2</v>
      </c>
    </row>
    <row r="18" spans="1:23" ht="15" customHeight="1" x14ac:dyDescent="0.25">
      <c r="A18" s="3" t="s">
        <v>43</v>
      </c>
      <c r="B18" s="6">
        <f>'Importe $ (Distribuidores)'!C21/'Importe $ (Distribuidores)'!C$131</f>
        <v>0</v>
      </c>
      <c r="C18" s="6">
        <f>'Importe $ (Distribuidores)'!D21/'Importe $ (Distribuidores)'!D$131</f>
        <v>0</v>
      </c>
      <c r="D18" s="6">
        <f>'Importe $ (Distribuidores)'!E21/'Importe $ (Distribuidores)'!E$131</f>
        <v>0</v>
      </c>
      <c r="E18" s="6">
        <f>'Importe $ (Distribuidores)'!F21/'Importe $ (Distribuidores)'!F$131</f>
        <v>3.4968693145554723E-4</v>
      </c>
      <c r="F18" s="6">
        <f>'Importe $ (Distribuidores)'!G21/'Importe $ (Distribuidores)'!G$131</f>
        <v>0</v>
      </c>
      <c r="G18" s="6">
        <f>'Importe $ (Distribuidores)'!H21/'Importe $ (Distribuidores)'!H$131</f>
        <v>0</v>
      </c>
      <c r="H18" s="6">
        <f>'Importe $ (Distribuidores)'!I21/'Importe $ (Distribuidores)'!I$131</f>
        <v>1.0812030131018922E-2</v>
      </c>
      <c r="I18" s="6">
        <f>'Importe $ (Distribuidores)'!J21/'Importe $ (Distribuidores)'!J$131</f>
        <v>0</v>
      </c>
      <c r="J18" s="6">
        <f>'Importe $ (Distribuidores)'!K21/'Importe $ (Distribuidores)'!K$131</f>
        <v>3.7198918440348377E-5</v>
      </c>
      <c r="K18" s="6">
        <f>'Importe $ (Distribuidores)'!L21/'Importe $ (Distribuidores)'!L$131</f>
        <v>0</v>
      </c>
      <c r="L18" s="6">
        <f>'Importe $ (Distribuidores)'!M21/'Importe $ (Distribuidores)'!M$131</f>
        <v>0</v>
      </c>
      <c r="M18" s="6">
        <f>'Importe $ (Distribuidores)'!N21/'Importe $ (Distribuidores)'!N$131</f>
        <v>0</v>
      </c>
      <c r="N18" s="6">
        <f>'Importe $ (Distribuidores)'!O21/'Importe $ (Distribuidores)'!O$131</f>
        <v>0</v>
      </c>
      <c r="O18" s="6">
        <f>'Importe $ (Distribuidores)'!P21/'Importe $ (Distribuidores)'!P$131</f>
        <v>0</v>
      </c>
      <c r="P18" s="6">
        <f>'Importe $ (Distribuidores)'!Q21/'Importe $ (Distribuidores)'!Q$131</f>
        <v>0</v>
      </c>
      <c r="Q18" s="6">
        <f>'Importe $ (Distribuidores)'!R21/'Importe $ (Distribuidores)'!R$131</f>
        <v>0</v>
      </c>
      <c r="R18" s="6">
        <f>'Importe $ (Distribuidores)'!S21/'Importe $ (Distribuidores)'!S$131</f>
        <v>0</v>
      </c>
      <c r="S18" s="6">
        <f>'Importe $ (Distribuidores)'!T21/'Importe $ (Distribuidores)'!T$131</f>
        <v>0</v>
      </c>
      <c r="T18" s="6">
        <f>'Importe $ (Distribuidores)'!U21/'Importe $ (Distribuidores)'!U$131</f>
        <v>0</v>
      </c>
      <c r="U18" s="6">
        <f>'Importe $ (Distribuidores)'!V21/'Importe $ (Distribuidores)'!V$131</f>
        <v>0</v>
      </c>
      <c r="V18" s="7">
        <f t="shared" si="0"/>
        <v>5.5994579904574088E-4</v>
      </c>
      <c r="W18" s="7">
        <v>1.825875239620143E-3</v>
      </c>
    </row>
    <row r="19" spans="1:23" ht="15" customHeight="1" x14ac:dyDescent="0.25">
      <c r="A19" s="3" t="s">
        <v>44</v>
      </c>
      <c r="B19" s="6">
        <f>'Importe $ (Distribuidores)'!C22/'Importe $ (Distribuidores)'!C$131</f>
        <v>0.10042472154857532</v>
      </c>
      <c r="C19" s="6">
        <f>'Importe $ (Distribuidores)'!D22/'Importe $ (Distribuidores)'!D$131</f>
        <v>0</v>
      </c>
      <c r="D19" s="6">
        <f>'Importe $ (Distribuidores)'!E22/'Importe $ (Distribuidores)'!E$131</f>
        <v>7.2009074965731404E-2</v>
      </c>
      <c r="E19" s="6">
        <f>'Importe $ (Distribuidores)'!F22/'Importe $ (Distribuidores)'!F$131</f>
        <v>4.5302604542624983E-2</v>
      </c>
      <c r="F19" s="6">
        <f>'Importe $ (Distribuidores)'!G22/'Importe $ (Distribuidores)'!G$131</f>
        <v>1.1900862759997221E-3</v>
      </c>
      <c r="G19" s="6">
        <f>'Importe $ (Distribuidores)'!H22/'Importe $ (Distribuidores)'!H$131</f>
        <v>0.37594678870349563</v>
      </c>
      <c r="H19" s="6">
        <f>'Importe $ (Distribuidores)'!I22/'Importe $ (Distribuidores)'!I$131</f>
        <v>1.2063939915053954E-2</v>
      </c>
      <c r="I19" s="6">
        <f>'Importe $ (Distribuidores)'!J22/'Importe $ (Distribuidores)'!J$131</f>
        <v>0.2931344096504746</v>
      </c>
      <c r="J19" s="6">
        <f>'Importe $ (Distribuidores)'!K22/'Importe $ (Distribuidores)'!K$131</f>
        <v>3.6306358500173629E-2</v>
      </c>
      <c r="K19" s="6">
        <f>'Importe $ (Distribuidores)'!L22/'Importe $ (Distribuidores)'!L$131</f>
        <v>3.7465836623805988E-2</v>
      </c>
      <c r="L19" s="6">
        <f>'Importe $ (Distribuidores)'!M22/'Importe $ (Distribuidores)'!M$131</f>
        <v>0.19172050583939734</v>
      </c>
      <c r="M19" s="6">
        <f>'Importe $ (Distribuidores)'!N22/'Importe $ (Distribuidores)'!N$131</f>
        <v>0</v>
      </c>
      <c r="N19" s="6">
        <f>'Importe $ (Distribuidores)'!O22/'Importe $ (Distribuidores)'!O$131</f>
        <v>2.3677996381710749E-3</v>
      </c>
      <c r="O19" s="6">
        <f>'Importe $ (Distribuidores)'!P22/'Importe $ (Distribuidores)'!P$131</f>
        <v>0.19629976221091014</v>
      </c>
      <c r="P19" s="6">
        <f>'Importe $ (Distribuidores)'!Q22/'Importe $ (Distribuidores)'!Q$131</f>
        <v>9.6270280013313718E-3</v>
      </c>
      <c r="Q19" s="6">
        <f>'Importe $ (Distribuidores)'!R22/'Importe $ (Distribuidores)'!R$131</f>
        <v>3.4947005308405873E-2</v>
      </c>
      <c r="R19" s="6">
        <f>'Importe $ (Distribuidores)'!S22/'Importe $ (Distribuidores)'!S$131</f>
        <v>3.4963429566055478E-2</v>
      </c>
      <c r="S19" s="6">
        <f>'Importe $ (Distribuidores)'!T22/'Importe $ (Distribuidores)'!T$131</f>
        <v>9.6632740658436217E-3</v>
      </c>
      <c r="T19" s="6">
        <f>'Importe $ (Distribuidores)'!U22/'Importe $ (Distribuidores)'!U$131</f>
        <v>5.2793520403434579E-3</v>
      </c>
      <c r="U19" s="6">
        <f>'Importe $ (Distribuidores)'!V22/'Importe $ (Distribuidores)'!V$131</f>
        <v>3.2733919766241702E-2</v>
      </c>
      <c r="V19" s="7">
        <f t="shared" si="0"/>
        <v>7.4572294858131744E-2</v>
      </c>
      <c r="W19" s="7">
        <v>1.6438308543984041E-2</v>
      </c>
    </row>
    <row r="20" spans="1:23" ht="15" customHeight="1" x14ac:dyDescent="0.25">
      <c r="A20" s="3" t="s">
        <v>45</v>
      </c>
      <c r="B20" s="6">
        <f>'Importe $ (Distribuidores)'!C23/'Importe $ (Distribuidores)'!C$131</f>
        <v>1.1747940912757136E-2</v>
      </c>
      <c r="C20" s="6">
        <f>'Importe $ (Distribuidores)'!D23/'Importe $ (Distribuidores)'!D$131</f>
        <v>0</v>
      </c>
      <c r="D20" s="6">
        <f>'Importe $ (Distribuidores)'!E23/'Importe $ (Distribuidores)'!E$131</f>
        <v>1.6092921924653883E-3</v>
      </c>
      <c r="E20" s="6">
        <f>'Importe $ (Distribuidores)'!F23/'Importe $ (Distribuidores)'!F$131</f>
        <v>2.120219860096097E-2</v>
      </c>
      <c r="F20" s="6">
        <f>'Importe $ (Distribuidores)'!G23/'Importe $ (Distribuidores)'!G$131</f>
        <v>0</v>
      </c>
      <c r="G20" s="6">
        <f>'Importe $ (Distribuidores)'!H23/'Importe $ (Distribuidores)'!H$131</f>
        <v>0</v>
      </c>
      <c r="H20" s="6">
        <f>'Importe $ (Distribuidores)'!I23/'Importe $ (Distribuidores)'!I$131</f>
        <v>7.2264606894246654E-3</v>
      </c>
      <c r="I20" s="6">
        <f>'Importe $ (Distribuidores)'!J23/'Importe $ (Distribuidores)'!J$131</f>
        <v>0</v>
      </c>
      <c r="J20" s="6">
        <f>'Importe $ (Distribuidores)'!K23/'Importe $ (Distribuidores)'!K$131</f>
        <v>1.1508838107465053E-2</v>
      </c>
      <c r="K20" s="6">
        <f>'Importe $ (Distribuidores)'!L23/'Importe $ (Distribuidores)'!L$131</f>
        <v>9.4238285554375262E-3</v>
      </c>
      <c r="L20" s="6">
        <f>'Importe $ (Distribuidores)'!M23/'Importe $ (Distribuidores)'!M$131</f>
        <v>3.1398786961810525E-2</v>
      </c>
      <c r="M20" s="6">
        <f>'Importe $ (Distribuidores)'!N23/'Importe $ (Distribuidores)'!N$131</f>
        <v>0</v>
      </c>
      <c r="N20" s="6">
        <f>'Importe $ (Distribuidores)'!O23/'Importe $ (Distribuidores)'!O$131</f>
        <v>0</v>
      </c>
      <c r="O20" s="6">
        <f>'Importe $ (Distribuidores)'!P23/'Importe $ (Distribuidores)'!P$131</f>
        <v>4.0939191645196242E-3</v>
      </c>
      <c r="P20" s="6">
        <f>'Importe $ (Distribuidores)'!Q23/'Importe $ (Distribuidores)'!Q$131</f>
        <v>-2.2771623926226129E-3</v>
      </c>
      <c r="Q20" s="6">
        <f>'Importe $ (Distribuidores)'!R23/'Importe $ (Distribuidores)'!R$131</f>
        <v>0</v>
      </c>
      <c r="R20" s="6">
        <f>'Importe $ (Distribuidores)'!S23/'Importe $ (Distribuidores)'!S$131</f>
        <v>4.776155591025749E-3</v>
      </c>
      <c r="S20" s="6">
        <f>'Importe $ (Distribuidores)'!T23/'Importe $ (Distribuidores)'!T$131</f>
        <v>0</v>
      </c>
      <c r="T20" s="6">
        <f>'Importe $ (Distribuidores)'!U23/'Importe $ (Distribuidores)'!U$131</f>
        <v>2.1268246791097928E-2</v>
      </c>
      <c r="U20" s="6">
        <f>'Importe $ (Distribuidores)'!V23/'Importe $ (Distribuidores)'!V$131</f>
        <v>1.6751998524011481E-2</v>
      </c>
      <c r="V20" s="7">
        <f t="shared" si="0"/>
        <v>6.9365251849176721E-3</v>
      </c>
      <c r="W20" s="7">
        <v>4.2786575943352259E-3</v>
      </c>
    </row>
    <row r="21" spans="1:23" ht="15" customHeight="1" x14ac:dyDescent="0.25">
      <c r="A21" s="3" t="s">
        <v>46</v>
      </c>
      <c r="B21" s="6">
        <f>'Importe $ (Distribuidores)'!C24/'Importe $ (Distribuidores)'!C$131</f>
        <v>7.3396487879624837E-4</v>
      </c>
      <c r="C21" s="6">
        <f>'Importe $ (Distribuidores)'!D24/'Importe $ (Distribuidores)'!D$131</f>
        <v>0</v>
      </c>
      <c r="D21" s="6">
        <f>'Importe $ (Distribuidores)'!E24/'Importe $ (Distribuidores)'!E$131</f>
        <v>2.5295528194007553E-4</v>
      </c>
      <c r="E21" s="6">
        <f>'Importe $ (Distribuidores)'!F24/'Importe $ (Distribuidores)'!F$131</f>
        <v>-3.5984198123266538E-5</v>
      </c>
      <c r="F21" s="6">
        <f>'Importe $ (Distribuidores)'!G24/'Importe $ (Distribuidores)'!G$131</f>
        <v>0</v>
      </c>
      <c r="G21" s="6">
        <f>'Importe $ (Distribuidores)'!H24/'Importe $ (Distribuidores)'!H$131</f>
        <v>0</v>
      </c>
      <c r="H21" s="6">
        <f>'Importe $ (Distribuidores)'!I24/'Importe $ (Distribuidores)'!I$131</f>
        <v>7.0712412330785953E-4</v>
      </c>
      <c r="I21" s="6">
        <f>'Importe $ (Distribuidores)'!J24/'Importe $ (Distribuidores)'!J$131</f>
        <v>0</v>
      </c>
      <c r="J21" s="6">
        <f>'Importe $ (Distribuidores)'!K24/'Importe $ (Distribuidores)'!K$131</f>
        <v>1.7073105871670115E-3</v>
      </c>
      <c r="K21" s="6">
        <f>'Importe $ (Distribuidores)'!L24/'Importe $ (Distribuidores)'!L$131</f>
        <v>5.6626347549876505E-4</v>
      </c>
      <c r="L21" s="6">
        <f>'Importe $ (Distribuidores)'!M24/'Importe $ (Distribuidores)'!M$131</f>
        <v>-8.5675582549761734E-5</v>
      </c>
      <c r="M21" s="6">
        <f>'Importe $ (Distribuidores)'!N24/'Importe $ (Distribuidores)'!N$131</f>
        <v>0</v>
      </c>
      <c r="N21" s="6">
        <f>'Importe $ (Distribuidores)'!O24/'Importe $ (Distribuidores)'!O$131</f>
        <v>0</v>
      </c>
      <c r="O21" s="6">
        <f>'Importe $ (Distribuidores)'!P24/'Importe $ (Distribuidores)'!P$131</f>
        <v>1.3023232874782027E-3</v>
      </c>
      <c r="P21" s="6">
        <f>'Importe $ (Distribuidores)'!Q24/'Importe $ (Distribuidores)'!Q$131</f>
        <v>-1.0973465484035059E-3</v>
      </c>
      <c r="Q21" s="6">
        <f>'Importe $ (Distribuidores)'!R24/'Importe $ (Distribuidores)'!R$131</f>
        <v>0</v>
      </c>
      <c r="R21" s="6">
        <f>'Importe $ (Distribuidores)'!S24/'Importe $ (Distribuidores)'!S$131</f>
        <v>1.3361908214556352E-3</v>
      </c>
      <c r="S21" s="6">
        <f>'Importe $ (Distribuidores)'!T24/'Importe $ (Distribuidores)'!T$131</f>
        <v>1.0683767313755766E-3</v>
      </c>
      <c r="T21" s="6">
        <f>'Importe $ (Distribuidores)'!U24/'Importe $ (Distribuidores)'!U$131</f>
        <v>0</v>
      </c>
      <c r="U21" s="6">
        <f>'Importe $ (Distribuidores)'!V24/'Importe $ (Distribuidores)'!V$131</f>
        <v>1.1602766624280807E-3</v>
      </c>
      <c r="V21" s="7">
        <f t="shared" si="0"/>
        <v>3.8078897601854605E-4</v>
      </c>
      <c r="W21" s="7">
        <v>6.6586676256708899E-4</v>
      </c>
    </row>
    <row r="22" spans="1:23" ht="15" customHeight="1" x14ac:dyDescent="0.25">
      <c r="A22" s="3" t="s">
        <v>47</v>
      </c>
      <c r="B22" s="6">
        <f>'Importe $ (Distribuidores)'!C25/'Importe $ (Distribuidores)'!C$131</f>
        <v>0</v>
      </c>
      <c r="C22" s="6">
        <f>'Importe $ (Distribuidores)'!D25/'Importe $ (Distribuidores)'!D$131</f>
        <v>0</v>
      </c>
      <c r="D22" s="6">
        <f>'Importe $ (Distribuidores)'!E25/'Importe $ (Distribuidores)'!E$131</f>
        <v>-1.8218987791266791E-4</v>
      </c>
      <c r="E22" s="6">
        <f>'Importe $ (Distribuidores)'!F25/'Importe $ (Distribuidores)'!F$131</f>
        <v>0</v>
      </c>
      <c r="F22" s="6">
        <f>'Importe $ (Distribuidores)'!G25/'Importe $ (Distribuidores)'!G$131</f>
        <v>0</v>
      </c>
      <c r="G22" s="6">
        <f>'Importe $ (Distribuidores)'!H25/'Importe $ (Distribuidores)'!H$131</f>
        <v>9.213370741447964E-3</v>
      </c>
      <c r="H22" s="6">
        <f>'Importe $ (Distribuidores)'!I25/'Importe $ (Distribuidores)'!I$131</f>
        <v>0</v>
      </c>
      <c r="I22" s="6">
        <f>'Importe $ (Distribuidores)'!J25/'Importe $ (Distribuidores)'!J$131</f>
        <v>0</v>
      </c>
      <c r="J22" s="6">
        <f>'Importe $ (Distribuidores)'!K25/'Importe $ (Distribuidores)'!K$131</f>
        <v>6.3759509826733851E-6</v>
      </c>
      <c r="K22" s="6">
        <f>'Importe $ (Distribuidores)'!L25/'Importe $ (Distribuidores)'!L$131</f>
        <v>0</v>
      </c>
      <c r="L22" s="6">
        <f>'Importe $ (Distribuidores)'!M25/'Importe $ (Distribuidores)'!M$131</f>
        <v>1.5852610857060203E-3</v>
      </c>
      <c r="M22" s="6">
        <f>'Importe $ (Distribuidores)'!N25/'Importe $ (Distribuidores)'!N$131</f>
        <v>0</v>
      </c>
      <c r="N22" s="6">
        <f>'Importe $ (Distribuidores)'!O25/'Importe $ (Distribuidores)'!O$131</f>
        <v>1.9160854810080811E-3</v>
      </c>
      <c r="O22" s="6">
        <f>'Importe $ (Distribuidores)'!P25/'Importe $ (Distribuidores)'!P$131</f>
        <v>0</v>
      </c>
      <c r="P22" s="6">
        <f>'Importe $ (Distribuidores)'!Q25/'Importe $ (Distribuidores)'!Q$131</f>
        <v>0</v>
      </c>
      <c r="Q22" s="6">
        <f>'Importe $ (Distribuidores)'!R25/'Importe $ (Distribuidores)'!R$131</f>
        <v>0</v>
      </c>
      <c r="R22" s="6">
        <f>'Importe $ (Distribuidores)'!S25/'Importe $ (Distribuidores)'!S$131</f>
        <v>0</v>
      </c>
      <c r="S22" s="6">
        <f>'Importe $ (Distribuidores)'!T25/'Importe $ (Distribuidores)'!T$131</f>
        <v>0</v>
      </c>
      <c r="T22" s="6">
        <f>'Importe $ (Distribuidores)'!U25/'Importe $ (Distribuidores)'!U$131</f>
        <v>0</v>
      </c>
      <c r="U22" s="6">
        <f>'Importe $ (Distribuidores)'!V25/'Importe $ (Distribuidores)'!V$131</f>
        <v>0</v>
      </c>
      <c r="V22" s="7">
        <f t="shared" si="0"/>
        <v>6.2694516906160354E-4</v>
      </c>
      <c r="W22" s="7">
        <v>-4.6519232339014084E-6</v>
      </c>
    </row>
    <row r="23" spans="1:23" ht="15" customHeight="1" x14ac:dyDescent="0.25">
      <c r="A23" s="3" t="s">
        <v>48</v>
      </c>
      <c r="B23" s="6">
        <f>'Importe $ (Distribuidores)'!C26/'Importe $ (Distribuidores)'!C$131</f>
        <v>9.2103791259986534E-4</v>
      </c>
      <c r="C23" s="6">
        <f>'Importe $ (Distribuidores)'!D26/'Importe $ (Distribuidores)'!D$131</f>
        <v>0</v>
      </c>
      <c r="D23" s="6">
        <f>'Importe $ (Distribuidores)'!E26/'Importe $ (Distribuidores)'!E$131</f>
        <v>1.310091098244244E-2</v>
      </c>
      <c r="E23" s="6">
        <f>'Importe $ (Distribuidores)'!F26/'Importe $ (Distribuidores)'!F$131</f>
        <v>0</v>
      </c>
      <c r="F23" s="6">
        <f>'Importe $ (Distribuidores)'!G26/'Importe $ (Distribuidores)'!G$131</f>
        <v>0</v>
      </c>
      <c r="G23" s="6">
        <f>'Importe $ (Distribuidores)'!H26/'Importe $ (Distribuidores)'!H$131</f>
        <v>0</v>
      </c>
      <c r="H23" s="6">
        <f>'Importe $ (Distribuidores)'!I26/'Importe $ (Distribuidores)'!I$131</f>
        <v>6.5192171665350044E-3</v>
      </c>
      <c r="I23" s="6">
        <f>'Importe $ (Distribuidores)'!J26/'Importe $ (Distribuidores)'!J$131</f>
        <v>0</v>
      </c>
      <c r="J23" s="6">
        <f>'Importe $ (Distribuidores)'!K26/'Importe $ (Distribuidores)'!K$131</f>
        <v>5.6400746510266834E-4</v>
      </c>
      <c r="K23" s="6">
        <f>'Importe $ (Distribuidores)'!L26/'Importe $ (Distribuidores)'!L$131</f>
        <v>4.1688108625675957E-3</v>
      </c>
      <c r="L23" s="6">
        <f>'Importe $ (Distribuidores)'!M26/'Importe $ (Distribuidores)'!M$131</f>
        <v>0</v>
      </c>
      <c r="M23" s="6">
        <f>'Importe $ (Distribuidores)'!N26/'Importe $ (Distribuidores)'!N$131</f>
        <v>0</v>
      </c>
      <c r="N23" s="6">
        <f>'Importe $ (Distribuidores)'!O26/'Importe $ (Distribuidores)'!O$131</f>
        <v>0</v>
      </c>
      <c r="O23" s="6">
        <f>'Importe $ (Distribuidores)'!P26/'Importe $ (Distribuidores)'!P$131</f>
        <v>1.3848836594860232E-4</v>
      </c>
      <c r="P23" s="6">
        <f>'Importe $ (Distribuidores)'!Q26/'Importe $ (Distribuidores)'!Q$131</f>
        <v>0</v>
      </c>
      <c r="Q23" s="6">
        <f>'Importe $ (Distribuidores)'!R26/'Importe $ (Distribuidores)'!R$131</f>
        <v>0</v>
      </c>
      <c r="R23" s="6">
        <f>'Importe $ (Distribuidores)'!S26/'Importe $ (Distribuidores)'!S$131</f>
        <v>5.8426676319380168E-3</v>
      </c>
      <c r="S23" s="6">
        <f>'Importe $ (Distribuidores)'!T26/'Importe $ (Distribuidores)'!T$131</f>
        <v>0</v>
      </c>
      <c r="T23" s="6">
        <f>'Importe $ (Distribuidores)'!U26/'Importe $ (Distribuidores)'!U$131</f>
        <v>0</v>
      </c>
      <c r="U23" s="6">
        <f>'Importe $ (Distribuidores)'!V26/'Importe $ (Distribuidores)'!V$131</f>
        <v>1.2599323266857072E-2</v>
      </c>
      <c r="V23" s="7">
        <f t="shared" si="0"/>
        <v>2.1927231826995635E-3</v>
      </c>
      <c r="W23" s="7">
        <v>1.4550724472734791E-3</v>
      </c>
    </row>
    <row r="24" spans="1:23" ht="15" customHeight="1" x14ac:dyDescent="0.25">
      <c r="A24" s="3" t="s">
        <v>49</v>
      </c>
      <c r="B24" s="6">
        <f>'Importe $ (Distribuidores)'!C27/'Importe $ (Distribuidores)'!C$131</f>
        <v>1.0806844841171754E-4</v>
      </c>
      <c r="C24" s="6">
        <f>'Importe $ (Distribuidores)'!D27/'Importe $ (Distribuidores)'!D$131</f>
        <v>0</v>
      </c>
      <c r="D24" s="6">
        <f>'Importe $ (Distribuidores)'!E27/'Importe $ (Distribuidores)'!E$131</f>
        <v>4.4246999991873828E-3</v>
      </c>
      <c r="E24" s="6">
        <f>'Importe $ (Distribuidores)'!F27/'Importe $ (Distribuidores)'!F$131</f>
        <v>-1.7219432230765585E-4</v>
      </c>
      <c r="F24" s="6">
        <f>'Importe $ (Distribuidores)'!G27/'Importe $ (Distribuidores)'!G$131</f>
        <v>0</v>
      </c>
      <c r="G24" s="6">
        <f>'Importe $ (Distribuidores)'!H27/'Importe $ (Distribuidores)'!H$131</f>
        <v>0</v>
      </c>
      <c r="H24" s="6">
        <f>'Importe $ (Distribuidores)'!I27/'Importe $ (Distribuidores)'!I$131</f>
        <v>1.8497383213179543E-3</v>
      </c>
      <c r="I24" s="6">
        <f>'Importe $ (Distribuidores)'!J27/'Importe $ (Distribuidores)'!J$131</f>
        <v>0</v>
      </c>
      <c r="J24" s="6">
        <f>'Importe $ (Distribuidores)'!K27/'Importe $ (Distribuidores)'!K$131</f>
        <v>8.9696596614260494E-4</v>
      </c>
      <c r="K24" s="6">
        <f>'Importe $ (Distribuidores)'!L27/'Importe $ (Distribuidores)'!L$131</f>
        <v>0</v>
      </c>
      <c r="L24" s="6">
        <f>'Importe $ (Distribuidores)'!M27/'Importe $ (Distribuidores)'!M$131</f>
        <v>2.4977323207145256E-3</v>
      </c>
      <c r="M24" s="6">
        <f>'Importe $ (Distribuidores)'!N27/'Importe $ (Distribuidores)'!N$131</f>
        <v>0</v>
      </c>
      <c r="N24" s="6">
        <f>'Importe $ (Distribuidores)'!O27/'Importe $ (Distribuidores)'!O$131</f>
        <v>-1.6278622512426141E-3</v>
      </c>
      <c r="O24" s="6">
        <f>'Importe $ (Distribuidores)'!P27/'Importe $ (Distribuidores)'!P$131</f>
        <v>7.8121642329980812E-4</v>
      </c>
      <c r="P24" s="6">
        <f>'Importe $ (Distribuidores)'!Q27/'Importe $ (Distribuidores)'!Q$131</f>
        <v>0</v>
      </c>
      <c r="Q24" s="6">
        <f>'Importe $ (Distribuidores)'!R27/'Importe $ (Distribuidores)'!R$131</f>
        <v>0</v>
      </c>
      <c r="R24" s="6">
        <f>'Importe $ (Distribuidores)'!S27/'Importe $ (Distribuidores)'!S$131</f>
        <v>0</v>
      </c>
      <c r="S24" s="6">
        <f>'Importe $ (Distribuidores)'!T27/'Importe $ (Distribuidores)'!T$131</f>
        <v>0</v>
      </c>
      <c r="T24" s="6">
        <f>'Importe $ (Distribuidores)'!U27/'Importe $ (Distribuidores)'!U$131</f>
        <v>0</v>
      </c>
      <c r="U24" s="6">
        <f>'Importe $ (Distribuidores)'!V27/'Importe $ (Distribuidores)'!V$131</f>
        <v>0</v>
      </c>
      <c r="V24" s="7">
        <f t="shared" si="0"/>
        <v>4.3791824527618617E-4</v>
      </c>
      <c r="W24" s="7">
        <v>6.6848599839779046E-4</v>
      </c>
    </row>
    <row r="25" spans="1:23" ht="15" customHeight="1" x14ac:dyDescent="0.25">
      <c r="A25" s="3" t="s">
        <v>50</v>
      </c>
      <c r="B25" s="6">
        <f>'Importe $ (Distribuidores)'!C28/'Importe $ (Distribuidores)'!C$131</f>
        <v>2.9169353093698031E-2</v>
      </c>
      <c r="C25" s="6">
        <f>'Importe $ (Distribuidores)'!D28/'Importe $ (Distribuidores)'!D$131</f>
        <v>0</v>
      </c>
      <c r="D25" s="6">
        <f>'Importe $ (Distribuidores)'!E28/'Importe $ (Distribuidores)'!E$131</f>
        <v>1.8372363218809782E-2</v>
      </c>
      <c r="E25" s="6">
        <f>'Importe $ (Distribuidores)'!F28/'Importe $ (Distribuidores)'!F$131</f>
        <v>2.6717825582622073E-2</v>
      </c>
      <c r="F25" s="6">
        <f>'Importe $ (Distribuidores)'!G28/'Importe $ (Distribuidores)'!G$131</f>
        <v>0</v>
      </c>
      <c r="G25" s="6">
        <f>'Importe $ (Distribuidores)'!H28/'Importe $ (Distribuidores)'!H$131</f>
        <v>0</v>
      </c>
      <c r="H25" s="6">
        <f>'Importe $ (Distribuidores)'!I28/'Importe $ (Distribuidores)'!I$131</f>
        <v>3.5833428719901833E-2</v>
      </c>
      <c r="I25" s="6">
        <f>'Importe $ (Distribuidores)'!J28/'Importe $ (Distribuidores)'!J$131</f>
        <v>0</v>
      </c>
      <c r="J25" s="6">
        <f>'Importe $ (Distribuidores)'!K28/'Importe $ (Distribuidores)'!K$131</f>
        <v>4.4350325876012169E-2</v>
      </c>
      <c r="K25" s="6">
        <f>'Importe $ (Distribuidores)'!L28/'Importe $ (Distribuidores)'!L$131</f>
        <v>1.9259520184056505E-2</v>
      </c>
      <c r="L25" s="6">
        <f>'Importe $ (Distribuidores)'!M28/'Importe $ (Distribuidores)'!M$131</f>
        <v>3.0122588713768671E-2</v>
      </c>
      <c r="M25" s="6">
        <f>'Importe $ (Distribuidores)'!N28/'Importe $ (Distribuidores)'!N$131</f>
        <v>0</v>
      </c>
      <c r="N25" s="6">
        <f>'Importe $ (Distribuidores)'!O28/'Importe $ (Distribuidores)'!O$131</f>
        <v>2.7145131566175536E-3</v>
      </c>
      <c r="O25" s="6">
        <f>'Importe $ (Distribuidores)'!P28/'Importe $ (Distribuidores)'!P$131</f>
        <v>2.3608715410494436E-2</v>
      </c>
      <c r="P25" s="6">
        <f>'Importe $ (Distribuidores)'!Q28/'Importe $ (Distribuidores)'!Q$131</f>
        <v>4.2724705388659197E-2</v>
      </c>
      <c r="Q25" s="6">
        <f>'Importe $ (Distribuidores)'!R28/'Importe $ (Distribuidores)'!R$131</f>
        <v>7.3116532467068229E-2</v>
      </c>
      <c r="R25" s="6">
        <f>'Importe $ (Distribuidores)'!S28/'Importe $ (Distribuidores)'!S$131</f>
        <v>4.3443431426992148E-2</v>
      </c>
      <c r="S25" s="6">
        <f>'Importe $ (Distribuidores)'!T28/'Importe $ (Distribuidores)'!T$131</f>
        <v>5.8152080157839889E-2</v>
      </c>
      <c r="T25" s="6">
        <f>'Importe $ (Distribuidores)'!U28/'Importe $ (Distribuidores)'!U$131</f>
        <v>1.4612492254522072E-3</v>
      </c>
      <c r="U25" s="6">
        <f>'Importe $ (Distribuidores)'!V28/'Importe $ (Distribuidores)'!V$131</f>
        <v>3.3854571438357843E-2</v>
      </c>
      <c r="V25" s="7">
        <f t="shared" si="0"/>
        <v>2.4145060203017529E-2</v>
      </c>
      <c r="W25" s="7">
        <v>2.6921268344451344E-2</v>
      </c>
    </row>
    <row r="26" spans="1:23" ht="15" customHeight="1" x14ac:dyDescent="0.25">
      <c r="A26" s="3" t="s">
        <v>51</v>
      </c>
      <c r="B26" s="6">
        <f>'Importe $ (Distribuidores)'!C29/'Importe $ (Distribuidores)'!C$131</f>
        <v>5.722715563620497E-4</v>
      </c>
      <c r="C26" s="6">
        <f>'Importe $ (Distribuidores)'!D29/'Importe $ (Distribuidores)'!D$131</f>
        <v>0</v>
      </c>
      <c r="D26" s="6">
        <f>'Importe $ (Distribuidores)'!E29/'Importe $ (Distribuidores)'!E$131</f>
        <v>3.0277040188042174E-4</v>
      </c>
      <c r="E26" s="6">
        <f>'Importe $ (Distribuidores)'!F29/'Importe $ (Distribuidores)'!F$131</f>
        <v>0</v>
      </c>
      <c r="F26" s="6">
        <f>'Importe $ (Distribuidores)'!G29/'Importe $ (Distribuidores)'!G$131</f>
        <v>0</v>
      </c>
      <c r="G26" s="6">
        <f>'Importe $ (Distribuidores)'!H29/'Importe $ (Distribuidores)'!H$131</f>
        <v>0</v>
      </c>
      <c r="H26" s="6">
        <f>'Importe $ (Distribuidores)'!I29/'Importe $ (Distribuidores)'!I$131</f>
        <v>1.7472138804083456E-5</v>
      </c>
      <c r="I26" s="6">
        <f>'Importe $ (Distribuidores)'!J29/'Importe $ (Distribuidores)'!J$131</f>
        <v>0</v>
      </c>
      <c r="J26" s="6">
        <f>'Importe $ (Distribuidores)'!K29/'Importe $ (Distribuidores)'!K$131</f>
        <v>3.5180102137491965E-3</v>
      </c>
      <c r="K26" s="6">
        <f>'Importe $ (Distribuidores)'!L29/'Importe $ (Distribuidores)'!L$131</f>
        <v>0</v>
      </c>
      <c r="L26" s="6">
        <f>'Importe $ (Distribuidores)'!M29/'Importe $ (Distribuidores)'!M$131</f>
        <v>0</v>
      </c>
      <c r="M26" s="6">
        <f>'Importe $ (Distribuidores)'!N29/'Importe $ (Distribuidores)'!N$131</f>
        <v>0</v>
      </c>
      <c r="N26" s="6">
        <f>'Importe $ (Distribuidores)'!O29/'Importe $ (Distribuidores)'!O$131</f>
        <v>-2.1141068197956026E-4</v>
      </c>
      <c r="O26" s="6">
        <f>'Importe $ (Distribuidores)'!P29/'Importe $ (Distribuidores)'!P$131</f>
        <v>2.5330350694872564E-4</v>
      </c>
      <c r="P26" s="6">
        <f>'Importe $ (Distribuidores)'!Q29/'Importe $ (Distribuidores)'!Q$131</f>
        <v>-6.047748359810733E-4</v>
      </c>
      <c r="Q26" s="6">
        <f>'Importe $ (Distribuidores)'!R29/'Importe $ (Distribuidores)'!R$131</f>
        <v>0</v>
      </c>
      <c r="R26" s="6">
        <f>'Importe $ (Distribuidores)'!S29/'Importe $ (Distribuidores)'!S$131</f>
        <v>4.2347486575134682E-4</v>
      </c>
      <c r="S26" s="6">
        <f>'Importe $ (Distribuidores)'!T29/'Importe $ (Distribuidores)'!T$131</f>
        <v>2.8709163009694484E-3</v>
      </c>
      <c r="T26" s="6">
        <f>'Importe $ (Distribuidores)'!U29/'Importe $ (Distribuidores)'!U$131</f>
        <v>0</v>
      </c>
      <c r="U26" s="6">
        <f>'Importe $ (Distribuidores)'!V29/'Importe $ (Distribuidores)'!V$131</f>
        <v>1.8571544860581978E-3</v>
      </c>
      <c r="V26" s="7">
        <f t="shared" si="0"/>
        <v>4.4995939762814183E-4</v>
      </c>
      <c r="W26" s="7">
        <v>6.6224248384352141E-4</v>
      </c>
    </row>
    <row r="27" spans="1:23" ht="15" customHeight="1" x14ac:dyDescent="0.25">
      <c r="A27" s="3" t="s">
        <v>52</v>
      </c>
      <c r="B27" s="6">
        <f>'Importe $ (Distribuidores)'!C30/'Importe $ (Distribuidores)'!C$131</f>
        <v>1.3361189985448712E-3</v>
      </c>
      <c r="C27" s="6">
        <f>'Importe $ (Distribuidores)'!D30/'Importe $ (Distribuidores)'!D$131</f>
        <v>0</v>
      </c>
      <c r="D27" s="6">
        <f>'Importe $ (Distribuidores)'!E30/'Importe $ (Distribuidores)'!E$131</f>
        <v>1.1530415612360498E-2</v>
      </c>
      <c r="E27" s="6">
        <f>'Importe $ (Distribuidores)'!F30/'Importe $ (Distribuidores)'!F$131</f>
        <v>4.9933242732628381E-3</v>
      </c>
      <c r="F27" s="6">
        <f>'Importe $ (Distribuidores)'!G30/'Importe $ (Distribuidores)'!G$131</f>
        <v>0</v>
      </c>
      <c r="G27" s="6">
        <f>'Importe $ (Distribuidores)'!H30/'Importe $ (Distribuidores)'!H$131</f>
        <v>0</v>
      </c>
      <c r="H27" s="6">
        <f>'Importe $ (Distribuidores)'!I30/'Importe $ (Distribuidores)'!I$131</f>
        <v>6.3573733593646573E-3</v>
      </c>
      <c r="I27" s="6">
        <f>'Importe $ (Distribuidores)'!J30/'Importe $ (Distribuidores)'!J$131</f>
        <v>0</v>
      </c>
      <c r="J27" s="6">
        <f>'Importe $ (Distribuidores)'!K30/'Importe $ (Distribuidores)'!K$131</f>
        <v>6.1313110914531744E-3</v>
      </c>
      <c r="K27" s="6">
        <f>'Importe $ (Distribuidores)'!L30/'Importe $ (Distribuidores)'!L$131</f>
        <v>1.519106958299516E-3</v>
      </c>
      <c r="L27" s="6">
        <f>'Importe $ (Distribuidores)'!M30/'Importe $ (Distribuidores)'!M$131</f>
        <v>-3.4388940563569764E-3</v>
      </c>
      <c r="M27" s="6">
        <f>'Importe $ (Distribuidores)'!N30/'Importe $ (Distribuidores)'!N$131</f>
        <v>0</v>
      </c>
      <c r="N27" s="6">
        <f>'Importe $ (Distribuidores)'!O30/'Importe $ (Distribuidores)'!O$131</f>
        <v>0</v>
      </c>
      <c r="O27" s="6">
        <f>'Importe $ (Distribuidores)'!P30/'Importe $ (Distribuidores)'!P$131</f>
        <v>1.1962238131762377E-2</v>
      </c>
      <c r="P27" s="6">
        <f>'Importe $ (Distribuidores)'!Q30/'Importe $ (Distribuidores)'!Q$131</f>
        <v>0</v>
      </c>
      <c r="Q27" s="6">
        <f>'Importe $ (Distribuidores)'!R30/'Importe $ (Distribuidores)'!R$131</f>
        <v>0</v>
      </c>
      <c r="R27" s="6">
        <f>'Importe $ (Distribuidores)'!S30/'Importe $ (Distribuidores)'!S$131</f>
        <v>9.0898982402147863E-3</v>
      </c>
      <c r="S27" s="6">
        <f>'Importe $ (Distribuidores)'!T30/'Importe $ (Distribuidores)'!T$131</f>
        <v>1.0778697744703646E-2</v>
      </c>
      <c r="T27" s="6">
        <f>'Importe $ (Distribuidores)'!U30/'Importe $ (Distribuidores)'!U$131</f>
        <v>0</v>
      </c>
      <c r="U27" s="6">
        <f>'Importe $ (Distribuidores)'!V30/'Importe $ (Distribuidores)'!V$131</f>
        <v>9.4378012445091169E-3</v>
      </c>
      <c r="V27" s="7">
        <f t="shared" si="0"/>
        <v>3.4848695799059256E-3</v>
      </c>
      <c r="W27" s="7">
        <v>2.2014534037771465E-2</v>
      </c>
    </row>
    <row r="28" spans="1:23" ht="15" customHeight="1" x14ac:dyDescent="0.25">
      <c r="A28" s="3" t="s">
        <v>53</v>
      </c>
      <c r="B28" s="6">
        <f>'Importe $ (Distribuidores)'!C31/'Importe $ (Distribuidores)'!C$131</f>
        <v>3.4512313960575404E-3</v>
      </c>
      <c r="C28" s="6">
        <f>'Importe $ (Distribuidores)'!D31/'Importe $ (Distribuidores)'!D$131</f>
        <v>0</v>
      </c>
      <c r="D28" s="6">
        <f>'Importe $ (Distribuidores)'!E31/'Importe $ (Distribuidores)'!E$131</f>
        <v>-2.2812531561466936E-4</v>
      </c>
      <c r="E28" s="6">
        <f>'Importe $ (Distribuidores)'!F31/'Importe $ (Distribuidores)'!F$131</f>
        <v>2.585563978034955E-3</v>
      </c>
      <c r="F28" s="6">
        <f>'Importe $ (Distribuidores)'!G31/'Importe $ (Distribuidores)'!G$131</f>
        <v>0</v>
      </c>
      <c r="G28" s="6">
        <f>'Importe $ (Distribuidores)'!H31/'Importe $ (Distribuidores)'!H$131</f>
        <v>0</v>
      </c>
      <c r="H28" s="6">
        <f>'Importe $ (Distribuidores)'!I31/'Importe $ (Distribuidores)'!I$131</f>
        <v>0</v>
      </c>
      <c r="I28" s="6">
        <f>'Importe $ (Distribuidores)'!J31/'Importe $ (Distribuidores)'!J$131</f>
        <v>0</v>
      </c>
      <c r="J28" s="6">
        <f>'Importe $ (Distribuidores)'!K31/'Importe $ (Distribuidores)'!K$131</f>
        <v>3.3132400310846638E-3</v>
      </c>
      <c r="K28" s="6">
        <f>'Importe $ (Distribuidores)'!L31/'Importe $ (Distribuidores)'!L$131</f>
        <v>0</v>
      </c>
      <c r="L28" s="6">
        <f>'Importe $ (Distribuidores)'!M31/'Importe $ (Distribuidores)'!M$131</f>
        <v>0</v>
      </c>
      <c r="M28" s="6">
        <f>'Importe $ (Distribuidores)'!N31/'Importe $ (Distribuidores)'!N$131</f>
        <v>0</v>
      </c>
      <c r="N28" s="6">
        <f>'Importe $ (Distribuidores)'!O31/'Importe $ (Distribuidores)'!O$131</f>
        <v>-4.2620393487079354E-3</v>
      </c>
      <c r="O28" s="6">
        <f>'Importe $ (Distribuidores)'!P31/'Importe $ (Distribuidores)'!P$131</f>
        <v>1.6874077466401283E-3</v>
      </c>
      <c r="P28" s="6">
        <f>'Importe $ (Distribuidores)'!Q31/'Importe $ (Distribuidores)'!Q$131</f>
        <v>0</v>
      </c>
      <c r="Q28" s="6">
        <f>'Importe $ (Distribuidores)'!R31/'Importe $ (Distribuidores)'!R$131</f>
        <v>0</v>
      </c>
      <c r="R28" s="6">
        <f>'Importe $ (Distribuidores)'!S31/'Importe $ (Distribuidores)'!S$131</f>
        <v>2.4797406349099987E-4</v>
      </c>
      <c r="S28" s="6">
        <f>'Importe $ (Distribuidores)'!T31/'Importe $ (Distribuidores)'!T$131</f>
        <v>0</v>
      </c>
      <c r="T28" s="6">
        <f>'Importe $ (Distribuidores)'!U31/'Importe $ (Distribuidores)'!U$131</f>
        <v>0</v>
      </c>
      <c r="U28" s="6">
        <f>'Importe $ (Distribuidores)'!V31/'Importe $ (Distribuidores)'!V$131</f>
        <v>1.2294424389306953E-3</v>
      </c>
      <c r="V28" s="7">
        <f t="shared" si="0"/>
        <v>4.0123474949581886E-4</v>
      </c>
      <c r="W28" s="7">
        <v>8.8227506256443786E-4</v>
      </c>
    </row>
    <row r="29" spans="1:23" ht="15" customHeight="1" x14ac:dyDescent="0.25">
      <c r="A29" s="3" t="s">
        <v>54</v>
      </c>
      <c r="B29" s="6">
        <f>'Importe $ (Distribuidores)'!C32/'Importe $ (Distribuidores)'!C$131</f>
        <v>1.7829247237016502E-3</v>
      </c>
      <c r="C29" s="6">
        <f>'Importe $ (Distribuidores)'!D32/'Importe $ (Distribuidores)'!D$131</f>
        <v>0</v>
      </c>
      <c r="D29" s="6">
        <f>'Importe $ (Distribuidores)'!E32/'Importe $ (Distribuidores)'!E$131</f>
        <v>-2.1260658666129047E-5</v>
      </c>
      <c r="E29" s="6">
        <f>'Importe $ (Distribuidores)'!F32/'Importe $ (Distribuidores)'!F$131</f>
        <v>0</v>
      </c>
      <c r="F29" s="6">
        <f>'Importe $ (Distribuidores)'!G32/'Importe $ (Distribuidores)'!G$131</f>
        <v>0</v>
      </c>
      <c r="G29" s="6">
        <f>'Importe $ (Distribuidores)'!H32/'Importe $ (Distribuidores)'!H$131</f>
        <v>0</v>
      </c>
      <c r="H29" s="6">
        <f>'Importe $ (Distribuidores)'!I32/'Importe $ (Distribuidores)'!I$131</f>
        <v>9.9858408481117121E-3</v>
      </c>
      <c r="I29" s="6">
        <f>'Importe $ (Distribuidores)'!J32/'Importe $ (Distribuidores)'!J$131</f>
        <v>0</v>
      </c>
      <c r="J29" s="6">
        <f>'Importe $ (Distribuidores)'!K32/'Importe $ (Distribuidores)'!K$131</f>
        <v>9.3803290966428356E-4</v>
      </c>
      <c r="K29" s="6">
        <f>'Importe $ (Distribuidores)'!L32/'Importe $ (Distribuidores)'!L$131</f>
        <v>2.8382653955981046E-3</v>
      </c>
      <c r="L29" s="6">
        <f>'Importe $ (Distribuidores)'!M32/'Importe $ (Distribuidores)'!M$131</f>
        <v>4.5413314922082273E-3</v>
      </c>
      <c r="M29" s="6">
        <f>'Importe $ (Distribuidores)'!N32/'Importe $ (Distribuidores)'!N$131</f>
        <v>0</v>
      </c>
      <c r="N29" s="6">
        <f>'Importe $ (Distribuidores)'!O32/'Importe $ (Distribuidores)'!O$131</f>
        <v>8.4564272791824106E-4</v>
      </c>
      <c r="O29" s="6">
        <f>'Importe $ (Distribuidores)'!P32/'Importe $ (Distribuidores)'!P$131</f>
        <v>-2.4491923977947266E-4</v>
      </c>
      <c r="P29" s="6">
        <f>'Importe $ (Distribuidores)'!Q32/'Importe $ (Distribuidores)'!Q$131</f>
        <v>-1.6157249792444258E-3</v>
      </c>
      <c r="Q29" s="6">
        <f>'Importe $ (Distribuidores)'!R32/'Importe $ (Distribuidores)'!R$131</f>
        <v>0</v>
      </c>
      <c r="R29" s="6">
        <f>'Importe $ (Distribuidores)'!S32/'Importe $ (Distribuidores)'!S$131</f>
        <v>2.5337695443107423E-5</v>
      </c>
      <c r="S29" s="6">
        <f>'Importe $ (Distribuidores)'!T32/'Importe $ (Distribuidores)'!T$131</f>
        <v>0</v>
      </c>
      <c r="T29" s="6">
        <f>'Importe $ (Distribuidores)'!U32/'Importe $ (Distribuidores)'!U$131</f>
        <v>0</v>
      </c>
      <c r="U29" s="6">
        <f>'Importe $ (Distribuidores)'!V32/'Importe $ (Distribuidores)'!V$131</f>
        <v>9.673717694722463E-4</v>
      </c>
      <c r="V29" s="7">
        <f t="shared" si="0"/>
        <v>1.0021421342213772E-3</v>
      </c>
      <c r="W29" s="7">
        <v>3.7971934916289601E-4</v>
      </c>
    </row>
    <row r="30" spans="1:23" ht="15" customHeight="1" x14ac:dyDescent="0.25">
      <c r="A30" s="3" t="s">
        <v>55</v>
      </c>
      <c r="B30" s="6">
        <f>'Importe $ (Distribuidores)'!C33/'Importe $ (Distribuidores)'!C$131</f>
        <v>8.8644782210444827E-4</v>
      </c>
      <c r="C30" s="6">
        <f>'Importe $ (Distribuidores)'!D33/'Importe $ (Distribuidores)'!D$131</f>
        <v>0</v>
      </c>
      <c r="D30" s="6">
        <f>'Importe $ (Distribuidores)'!E33/'Importe $ (Distribuidores)'!E$131</f>
        <v>2.0994663621029443E-3</v>
      </c>
      <c r="E30" s="6">
        <f>'Importe $ (Distribuidores)'!F33/'Importe $ (Distribuidores)'!F$131</f>
        <v>1.8868524009788903E-3</v>
      </c>
      <c r="F30" s="6">
        <f>'Importe $ (Distribuidores)'!G33/'Importe $ (Distribuidores)'!G$131</f>
        <v>0</v>
      </c>
      <c r="G30" s="6">
        <f>'Importe $ (Distribuidores)'!H33/'Importe $ (Distribuidores)'!H$131</f>
        <v>0</v>
      </c>
      <c r="H30" s="6">
        <f>'Importe $ (Distribuidores)'!I33/'Importe $ (Distribuidores)'!I$131</f>
        <v>9.2529868902468991E-4</v>
      </c>
      <c r="I30" s="6">
        <f>'Importe $ (Distribuidores)'!J33/'Importe $ (Distribuidores)'!J$131</f>
        <v>0</v>
      </c>
      <c r="J30" s="6">
        <f>'Importe $ (Distribuidores)'!K33/'Importe $ (Distribuidores)'!K$131</f>
        <v>5.1806511728864891E-4</v>
      </c>
      <c r="K30" s="6">
        <f>'Importe $ (Distribuidores)'!L33/'Importe $ (Distribuidores)'!L$131</f>
        <v>1.8030106980604847E-3</v>
      </c>
      <c r="L30" s="6">
        <f>'Importe $ (Distribuidores)'!M33/'Importe $ (Distribuidores)'!M$131</f>
        <v>9.3938282903640539E-3</v>
      </c>
      <c r="M30" s="6">
        <f>'Importe $ (Distribuidores)'!N33/'Importe $ (Distribuidores)'!N$131</f>
        <v>0</v>
      </c>
      <c r="N30" s="6">
        <f>'Importe $ (Distribuidores)'!O33/'Importe $ (Distribuidores)'!O$131</f>
        <v>1.0655098371769836E-3</v>
      </c>
      <c r="O30" s="6">
        <f>'Importe $ (Distribuidores)'!P33/'Importe $ (Distribuidores)'!P$131</f>
        <v>1.811001708558646E-4</v>
      </c>
      <c r="P30" s="6">
        <f>'Importe $ (Distribuidores)'!Q33/'Importe $ (Distribuidores)'!Q$131</f>
        <v>5.2533502450155586E-3</v>
      </c>
      <c r="Q30" s="6">
        <f>'Importe $ (Distribuidores)'!R33/'Importe $ (Distribuidores)'!R$131</f>
        <v>0</v>
      </c>
      <c r="R30" s="6">
        <f>'Importe $ (Distribuidores)'!S33/'Importe $ (Distribuidores)'!S$131</f>
        <v>6.9930176357135073E-4</v>
      </c>
      <c r="S30" s="6">
        <f>'Importe $ (Distribuidores)'!T33/'Importe $ (Distribuidores)'!T$131</f>
        <v>1.8524077756740961E-5</v>
      </c>
      <c r="T30" s="6">
        <f>'Importe $ (Distribuidores)'!U33/'Importe $ (Distribuidores)'!U$131</f>
        <v>4.8315498583500404E-3</v>
      </c>
      <c r="U30" s="6">
        <f>'Importe $ (Distribuidores)'!V33/'Importe $ (Distribuidores)'!V$131</f>
        <v>5.6072920422291193E-3</v>
      </c>
      <c r="V30" s="7">
        <f t="shared" si="0"/>
        <v>1.7584798687439909E-3</v>
      </c>
      <c r="W30" s="7">
        <v>1.4817238371404127E-3</v>
      </c>
    </row>
    <row r="31" spans="1:23" ht="15" customHeight="1" x14ac:dyDescent="0.25">
      <c r="A31" s="3" t="s">
        <v>56</v>
      </c>
      <c r="B31" s="6">
        <f>'Importe $ (Distribuidores)'!C34/'Importe $ (Distribuidores)'!C$131</f>
        <v>3.9416329157440453E-3</v>
      </c>
      <c r="C31" s="6">
        <f>'Importe $ (Distribuidores)'!D34/'Importe $ (Distribuidores)'!D$131</f>
        <v>0</v>
      </c>
      <c r="D31" s="6">
        <f>'Importe $ (Distribuidores)'!E34/'Importe $ (Distribuidores)'!E$131</f>
        <v>3.3318711062904414E-3</v>
      </c>
      <c r="E31" s="6">
        <f>'Importe $ (Distribuidores)'!F34/'Importe $ (Distribuidores)'!F$131</f>
        <v>1.2023005528441197E-2</v>
      </c>
      <c r="F31" s="6">
        <f>'Importe $ (Distribuidores)'!G34/'Importe $ (Distribuidores)'!G$131</f>
        <v>-2.3347492246698627E-3</v>
      </c>
      <c r="G31" s="6">
        <f>'Importe $ (Distribuidores)'!H34/'Importe $ (Distribuidores)'!H$131</f>
        <v>0</v>
      </c>
      <c r="H31" s="6">
        <f>'Importe $ (Distribuidores)'!I34/'Importe $ (Distribuidores)'!I$131</f>
        <v>3.2312710825191933E-3</v>
      </c>
      <c r="I31" s="6">
        <f>'Importe $ (Distribuidores)'!J34/'Importe $ (Distribuidores)'!J$131</f>
        <v>0</v>
      </c>
      <c r="J31" s="6">
        <f>'Importe $ (Distribuidores)'!K34/'Importe $ (Distribuidores)'!K$131</f>
        <v>1.5126820414522681E-2</v>
      </c>
      <c r="K31" s="6">
        <f>'Importe $ (Distribuidores)'!L34/'Importe $ (Distribuidores)'!L$131</f>
        <v>3.1103961046823792E-3</v>
      </c>
      <c r="L31" s="6">
        <f>'Importe $ (Distribuidores)'!M34/'Importe $ (Distribuidores)'!M$131</f>
        <v>3.1865009303661068E-2</v>
      </c>
      <c r="M31" s="6">
        <f>'Importe $ (Distribuidores)'!N34/'Importe $ (Distribuidores)'!N$131</f>
        <v>0</v>
      </c>
      <c r="N31" s="6">
        <f>'Importe $ (Distribuidores)'!O34/'Importe $ (Distribuidores)'!O$131</f>
        <v>0</v>
      </c>
      <c r="O31" s="6">
        <f>'Importe $ (Distribuidores)'!P34/'Importe $ (Distribuidores)'!P$131</f>
        <v>5.8537966991351522E-3</v>
      </c>
      <c r="P31" s="6">
        <f>'Importe $ (Distribuidores)'!Q34/'Importe $ (Distribuidores)'!Q$131</f>
        <v>7.6073717772758378E-4</v>
      </c>
      <c r="Q31" s="6">
        <f>'Importe $ (Distribuidores)'!R34/'Importe $ (Distribuidores)'!R$131</f>
        <v>0</v>
      </c>
      <c r="R31" s="6">
        <f>'Importe $ (Distribuidores)'!S34/'Importe $ (Distribuidores)'!S$131</f>
        <v>2.0038204657231015E-3</v>
      </c>
      <c r="S31" s="6">
        <f>'Importe $ (Distribuidores)'!T34/'Importe $ (Distribuidores)'!T$131</f>
        <v>1.9309140802124657E-2</v>
      </c>
      <c r="T31" s="6">
        <f>'Importe $ (Distribuidores)'!U34/'Importe $ (Distribuidores)'!U$131</f>
        <v>9.647387359437154E-3</v>
      </c>
      <c r="U31" s="6">
        <f>'Importe $ (Distribuidores)'!V34/'Importe $ (Distribuidores)'!V$131</f>
        <v>1.7323832216537386E-2</v>
      </c>
      <c r="V31" s="7">
        <f t="shared" si="0"/>
        <v>6.2596985975938088E-3</v>
      </c>
      <c r="W31" s="7">
        <v>6.4923784124075691E-3</v>
      </c>
    </row>
    <row r="32" spans="1:23" ht="15" customHeight="1" x14ac:dyDescent="0.25">
      <c r="A32" s="3" t="s">
        <v>57</v>
      </c>
      <c r="B32" s="6">
        <f>'Importe $ (Distribuidores)'!C35/'Importe $ (Distribuidores)'!C$131</f>
        <v>0</v>
      </c>
      <c r="C32" s="6">
        <f>'Importe $ (Distribuidores)'!D35/'Importe $ (Distribuidores)'!D$131</f>
        <v>0</v>
      </c>
      <c r="D32" s="6">
        <f>'Importe $ (Distribuidores)'!E35/'Importe $ (Distribuidores)'!E$131</f>
        <v>0</v>
      </c>
      <c r="E32" s="6">
        <f>'Importe $ (Distribuidores)'!F35/'Importe $ (Distribuidores)'!F$131</f>
        <v>0</v>
      </c>
      <c r="F32" s="6">
        <f>'Importe $ (Distribuidores)'!G35/'Importe $ (Distribuidores)'!G$131</f>
        <v>0</v>
      </c>
      <c r="G32" s="6">
        <f>'Importe $ (Distribuidores)'!H35/'Importe $ (Distribuidores)'!H$131</f>
        <v>0</v>
      </c>
      <c r="H32" s="6">
        <f>'Importe $ (Distribuidores)'!I35/'Importe $ (Distribuidores)'!I$131</f>
        <v>0</v>
      </c>
      <c r="I32" s="6">
        <f>'Importe $ (Distribuidores)'!J35/'Importe $ (Distribuidores)'!J$131</f>
        <v>0</v>
      </c>
      <c r="J32" s="6">
        <f>'Importe $ (Distribuidores)'!K35/'Importe $ (Distribuidores)'!K$131</f>
        <v>1.6397818687483113E-4</v>
      </c>
      <c r="K32" s="6">
        <f>'Importe $ (Distribuidores)'!L35/'Importe $ (Distribuidores)'!L$131</f>
        <v>0</v>
      </c>
      <c r="L32" s="6">
        <f>'Importe $ (Distribuidores)'!M35/'Importe $ (Distribuidores)'!M$131</f>
        <v>0</v>
      </c>
      <c r="M32" s="6">
        <f>'Importe $ (Distribuidores)'!N35/'Importe $ (Distribuidores)'!N$131</f>
        <v>0</v>
      </c>
      <c r="N32" s="6">
        <f>'Importe $ (Distribuidores)'!O35/'Importe $ (Distribuidores)'!O$131</f>
        <v>0</v>
      </c>
      <c r="O32" s="6">
        <f>'Importe $ (Distribuidores)'!P35/'Importe $ (Distribuidores)'!P$131</f>
        <v>0</v>
      </c>
      <c r="P32" s="6">
        <f>'Importe $ (Distribuidores)'!Q35/'Importe $ (Distribuidores)'!Q$131</f>
        <v>0</v>
      </c>
      <c r="Q32" s="6">
        <f>'Importe $ (Distribuidores)'!R35/'Importe $ (Distribuidores)'!R$131</f>
        <v>0</v>
      </c>
      <c r="R32" s="6">
        <f>'Importe $ (Distribuidores)'!S35/'Importe $ (Distribuidores)'!S$131</f>
        <v>0</v>
      </c>
      <c r="S32" s="6">
        <f>'Importe $ (Distribuidores)'!T35/'Importe $ (Distribuidores)'!T$131</f>
        <v>0</v>
      </c>
      <c r="T32" s="6">
        <f>'Importe $ (Distribuidores)'!U35/'Importe $ (Distribuidores)'!U$131</f>
        <v>0</v>
      </c>
      <c r="U32" s="6">
        <f>'Importe $ (Distribuidores)'!V35/'Importe $ (Distribuidores)'!V$131</f>
        <v>0</v>
      </c>
      <c r="V32" s="7">
        <f t="shared" si="0"/>
        <v>8.1989093437415571E-6</v>
      </c>
      <c r="W32" s="7">
        <v>3.9479922124560945E-6</v>
      </c>
    </row>
    <row r="33" spans="1:23" ht="15" customHeight="1" x14ac:dyDescent="0.25">
      <c r="A33" s="3" t="s">
        <v>58</v>
      </c>
      <c r="B33" s="6">
        <f>'Importe $ (Distribuidores)'!C36/'Importe $ (Distribuidores)'!C$131</f>
        <v>2.2500546854631331E-2</v>
      </c>
      <c r="C33" s="6">
        <f>'Importe $ (Distribuidores)'!D36/'Importe $ (Distribuidores)'!D$131</f>
        <v>0</v>
      </c>
      <c r="D33" s="6">
        <f>'Importe $ (Distribuidores)'!E36/'Importe $ (Distribuidores)'!E$131</f>
        <v>1.5553801280813503E-2</v>
      </c>
      <c r="E33" s="6">
        <f>'Importe $ (Distribuidores)'!F36/'Importe $ (Distribuidores)'!F$131</f>
        <v>1.7290848722132927E-2</v>
      </c>
      <c r="F33" s="6">
        <f>'Importe $ (Distribuidores)'!G36/'Importe $ (Distribuidores)'!G$131</f>
        <v>1.1631488218830402E-2</v>
      </c>
      <c r="G33" s="6">
        <f>'Importe $ (Distribuidores)'!H36/'Importe $ (Distribuidores)'!H$131</f>
        <v>0</v>
      </c>
      <c r="H33" s="6">
        <f>'Importe $ (Distribuidores)'!I36/'Importe $ (Distribuidores)'!I$131</f>
        <v>1.9241600806568043E-2</v>
      </c>
      <c r="I33" s="6">
        <f>'Importe $ (Distribuidores)'!J36/'Importe $ (Distribuidores)'!J$131</f>
        <v>0</v>
      </c>
      <c r="J33" s="6">
        <f>'Importe $ (Distribuidores)'!K36/'Importe $ (Distribuidores)'!K$131</f>
        <v>4.0798054704446161E-2</v>
      </c>
      <c r="K33" s="6">
        <f>'Importe $ (Distribuidores)'!L36/'Importe $ (Distribuidores)'!L$131</f>
        <v>5.152609620832943E-2</v>
      </c>
      <c r="L33" s="6">
        <f>'Importe $ (Distribuidores)'!M36/'Importe $ (Distribuidores)'!M$131</f>
        <v>2.387498133803416E-2</v>
      </c>
      <c r="M33" s="6">
        <f>'Importe $ (Distribuidores)'!N36/'Importe $ (Distribuidores)'!N$131</f>
        <v>0</v>
      </c>
      <c r="N33" s="6">
        <f>'Importe $ (Distribuidores)'!O36/'Importe $ (Distribuidores)'!O$131</f>
        <v>4.7161494936000289E-2</v>
      </c>
      <c r="O33" s="6">
        <f>'Importe $ (Distribuidores)'!P36/'Importe $ (Distribuidores)'!P$131</f>
        <v>3.2144472004137697E-2</v>
      </c>
      <c r="P33" s="6">
        <f>'Importe $ (Distribuidores)'!Q36/'Importe $ (Distribuidores)'!Q$131</f>
        <v>-3.6596141636217787E-3</v>
      </c>
      <c r="Q33" s="6">
        <f>'Importe $ (Distribuidores)'!R36/'Importe $ (Distribuidores)'!R$131</f>
        <v>0</v>
      </c>
      <c r="R33" s="6">
        <f>'Importe $ (Distribuidores)'!S36/'Importe $ (Distribuidores)'!S$131</f>
        <v>3.0680087554222735E-2</v>
      </c>
      <c r="S33" s="6">
        <f>'Importe $ (Distribuidores)'!T36/'Importe $ (Distribuidores)'!T$131</f>
        <v>2.9344588631505025E-3</v>
      </c>
      <c r="T33" s="6">
        <f>'Importe $ (Distribuidores)'!U36/'Importe $ (Distribuidores)'!U$131</f>
        <v>2.1211682304951396E-3</v>
      </c>
      <c r="U33" s="6">
        <f>'Importe $ (Distribuidores)'!V36/'Importe $ (Distribuidores)'!V$131</f>
        <v>4.6478480441679938E-2</v>
      </c>
      <c r="V33" s="7">
        <f t="shared" si="0"/>
        <v>1.8013898299992524E-2</v>
      </c>
      <c r="W33" s="7">
        <v>1.4193956191208746E-2</v>
      </c>
    </row>
    <row r="34" spans="1:23" ht="15" customHeight="1" x14ac:dyDescent="0.25">
      <c r="A34" s="3" t="s">
        <v>59</v>
      </c>
      <c r="B34" s="6">
        <f>'Importe $ (Distribuidores)'!C37/'Importe $ (Distribuidores)'!C$131</f>
        <v>0</v>
      </c>
      <c r="C34" s="6">
        <f>'Importe $ (Distribuidores)'!D37/'Importe $ (Distribuidores)'!D$131</f>
        <v>0</v>
      </c>
      <c r="D34" s="6">
        <f>'Importe $ (Distribuidores)'!E37/'Importe $ (Distribuidores)'!E$131</f>
        <v>-7.5731397292488862E-5</v>
      </c>
      <c r="E34" s="6">
        <f>'Importe $ (Distribuidores)'!F37/'Importe $ (Distribuidores)'!F$131</f>
        <v>0</v>
      </c>
      <c r="F34" s="6">
        <f>'Importe $ (Distribuidores)'!G37/'Importe $ (Distribuidores)'!G$131</f>
        <v>0</v>
      </c>
      <c r="G34" s="6">
        <f>'Importe $ (Distribuidores)'!H37/'Importe $ (Distribuidores)'!H$131</f>
        <v>0</v>
      </c>
      <c r="H34" s="6">
        <f>'Importe $ (Distribuidores)'!I37/'Importe $ (Distribuidores)'!I$131</f>
        <v>-1.5442345913404039E-5</v>
      </c>
      <c r="I34" s="6">
        <f>'Importe $ (Distribuidores)'!J37/'Importe $ (Distribuidores)'!J$131</f>
        <v>0</v>
      </c>
      <c r="J34" s="6">
        <f>'Importe $ (Distribuidores)'!K37/'Importe $ (Distribuidores)'!K$131</f>
        <v>-4.8330412973634442E-5</v>
      </c>
      <c r="K34" s="6">
        <f>'Importe $ (Distribuidores)'!L37/'Importe $ (Distribuidores)'!L$131</f>
        <v>-3.4045288710968696E-4</v>
      </c>
      <c r="L34" s="6">
        <f>'Importe $ (Distribuidores)'!M37/'Importe $ (Distribuidores)'!M$131</f>
        <v>0</v>
      </c>
      <c r="M34" s="6">
        <f>'Importe $ (Distribuidores)'!N37/'Importe $ (Distribuidores)'!N$131</f>
        <v>0</v>
      </c>
      <c r="N34" s="6">
        <f>'Importe $ (Distribuidores)'!O37/'Importe $ (Distribuidores)'!O$131</f>
        <v>-2.0027638606197008E-3</v>
      </c>
      <c r="O34" s="6">
        <f>'Importe $ (Distribuidores)'!P37/'Importe $ (Distribuidores)'!P$131</f>
        <v>0</v>
      </c>
      <c r="P34" s="6">
        <f>'Importe $ (Distribuidores)'!Q37/'Importe $ (Distribuidores)'!Q$131</f>
        <v>0</v>
      </c>
      <c r="Q34" s="6">
        <f>'Importe $ (Distribuidores)'!R37/'Importe $ (Distribuidores)'!R$131</f>
        <v>0</v>
      </c>
      <c r="R34" s="6">
        <f>'Importe $ (Distribuidores)'!S37/'Importe $ (Distribuidores)'!S$131</f>
        <v>0</v>
      </c>
      <c r="S34" s="6">
        <f>'Importe $ (Distribuidores)'!T37/'Importe $ (Distribuidores)'!T$131</f>
        <v>0</v>
      </c>
      <c r="T34" s="6">
        <f>'Importe $ (Distribuidores)'!U37/'Importe $ (Distribuidores)'!U$131</f>
        <v>0</v>
      </c>
      <c r="U34" s="6">
        <f>'Importe $ (Distribuidores)'!V37/'Importe $ (Distribuidores)'!V$131</f>
        <v>0</v>
      </c>
      <c r="V34" s="7">
        <f t="shared" si="0"/>
        <v>-1.2413604519544575E-4</v>
      </c>
      <c r="W34" s="7">
        <v>-2.3007739369943373E-4</v>
      </c>
    </row>
    <row r="35" spans="1:23" ht="15" customHeight="1" x14ac:dyDescent="0.25">
      <c r="A35" s="3" t="s">
        <v>60</v>
      </c>
      <c r="B35" s="6">
        <f>'Importe $ (Distribuidores)'!C38/'Importe $ (Distribuidores)'!C$131</f>
        <v>0</v>
      </c>
      <c r="C35" s="6">
        <f>'Importe $ (Distribuidores)'!D38/'Importe $ (Distribuidores)'!D$131</f>
        <v>0</v>
      </c>
      <c r="D35" s="6">
        <f>'Importe $ (Distribuidores)'!E38/'Importe $ (Distribuidores)'!E$131</f>
        <v>-3.3520454539298349E-5</v>
      </c>
      <c r="E35" s="6">
        <f>'Importe $ (Distribuidores)'!F38/'Importe $ (Distribuidores)'!F$131</f>
        <v>-1.647987969264937E-4</v>
      </c>
      <c r="F35" s="6">
        <f>'Importe $ (Distribuidores)'!G38/'Importe $ (Distribuidores)'!G$131</f>
        <v>0</v>
      </c>
      <c r="G35" s="6">
        <f>'Importe $ (Distribuidores)'!H38/'Importe $ (Distribuidores)'!H$131</f>
        <v>0</v>
      </c>
      <c r="H35" s="6">
        <f>'Importe $ (Distribuidores)'!I38/'Importe $ (Distribuidores)'!I$131</f>
        <v>0</v>
      </c>
      <c r="I35" s="6">
        <f>'Importe $ (Distribuidores)'!J38/'Importe $ (Distribuidores)'!J$131</f>
        <v>0</v>
      </c>
      <c r="J35" s="6">
        <f>'Importe $ (Distribuidores)'!K38/'Importe $ (Distribuidores)'!K$131</f>
        <v>-7.6740382407480053E-4</v>
      </c>
      <c r="K35" s="6">
        <f>'Importe $ (Distribuidores)'!L38/'Importe $ (Distribuidores)'!L$131</f>
        <v>0</v>
      </c>
      <c r="L35" s="6">
        <f>'Importe $ (Distribuidores)'!M38/'Importe $ (Distribuidores)'!M$131</f>
        <v>0</v>
      </c>
      <c r="M35" s="6">
        <f>'Importe $ (Distribuidores)'!N38/'Importe $ (Distribuidores)'!N$131</f>
        <v>0</v>
      </c>
      <c r="N35" s="6">
        <f>'Importe $ (Distribuidores)'!O38/'Importe $ (Distribuidores)'!O$131</f>
        <v>0</v>
      </c>
      <c r="O35" s="6">
        <f>'Importe $ (Distribuidores)'!P38/'Importe $ (Distribuidores)'!P$131</f>
        <v>-1.0652951226815563E-5</v>
      </c>
      <c r="P35" s="6">
        <f>'Importe $ (Distribuidores)'!Q38/'Importe $ (Distribuidores)'!Q$131</f>
        <v>0</v>
      </c>
      <c r="Q35" s="6">
        <f>'Importe $ (Distribuidores)'!R38/'Importe $ (Distribuidores)'!R$131</f>
        <v>0</v>
      </c>
      <c r="R35" s="6">
        <f>'Importe $ (Distribuidores)'!S38/'Importe $ (Distribuidores)'!S$131</f>
        <v>-1.8565451109600403E-4</v>
      </c>
      <c r="S35" s="6">
        <f>'Importe $ (Distribuidores)'!T38/'Importe $ (Distribuidores)'!T$131</f>
        <v>0</v>
      </c>
      <c r="T35" s="6">
        <f>'Importe $ (Distribuidores)'!U38/'Importe $ (Distribuidores)'!U$131</f>
        <v>0</v>
      </c>
      <c r="U35" s="6">
        <f>'Importe $ (Distribuidores)'!V38/'Importe $ (Distribuidores)'!V$131</f>
        <v>0</v>
      </c>
      <c r="V35" s="7">
        <f t="shared" si="0"/>
        <v>-5.8101526893170605E-5</v>
      </c>
      <c r="W35" s="7">
        <v>-2.6227434559155397E-4</v>
      </c>
    </row>
    <row r="36" spans="1:23" ht="15" customHeight="1" x14ac:dyDescent="0.25">
      <c r="A36" s="3" t="s">
        <v>61</v>
      </c>
      <c r="B36" s="6">
        <f>'Importe $ (Distribuidores)'!C39/'Importe $ (Distribuidores)'!C$131</f>
        <v>0</v>
      </c>
      <c r="C36" s="6">
        <f>'Importe $ (Distribuidores)'!D39/'Importe $ (Distribuidores)'!D$131</f>
        <v>0</v>
      </c>
      <c r="D36" s="6">
        <f>'Importe $ (Distribuidores)'!E39/'Importe $ (Distribuidores)'!E$131</f>
        <v>-7.3585157078236568E-3</v>
      </c>
      <c r="E36" s="6">
        <f>'Importe $ (Distribuidores)'!F39/'Importe $ (Distribuidores)'!F$131</f>
        <v>-4.3986818871539005E-4</v>
      </c>
      <c r="F36" s="6">
        <f>'Importe $ (Distribuidores)'!G39/'Importe $ (Distribuidores)'!G$131</f>
        <v>0</v>
      </c>
      <c r="G36" s="6">
        <f>'Importe $ (Distribuidores)'!H39/'Importe $ (Distribuidores)'!H$131</f>
        <v>0</v>
      </c>
      <c r="H36" s="6">
        <f>'Importe $ (Distribuidores)'!I39/'Importe $ (Distribuidores)'!I$131</f>
        <v>-1.0737206393087995E-3</v>
      </c>
      <c r="I36" s="6">
        <f>'Importe $ (Distribuidores)'!J39/'Importe $ (Distribuidores)'!J$131</f>
        <v>0</v>
      </c>
      <c r="J36" s="6">
        <f>'Importe $ (Distribuidores)'!K39/'Importe $ (Distribuidores)'!K$131</f>
        <v>-7.0554653166831206E-4</v>
      </c>
      <c r="K36" s="6">
        <f>'Importe $ (Distribuidores)'!L39/'Importe $ (Distribuidores)'!L$131</f>
        <v>0</v>
      </c>
      <c r="L36" s="6">
        <f>'Importe $ (Distribuidores)'!M39/'Importe $ (Distribuidores)'!M$131</f>
        <v>0</v>
      </c>
      <c r="M36" s="6">
        <f>'Importe $ (Distribuidores)'!N39/'Importe $ (Distribuidores)'!N$131</f>
        <v>0</v>
      </c>
      <c r="N36" s="6">
        <f>'Importe $ (Distribuidores)'!O39/'Importe $ (Distribuidores)'!O$131</f>
        <v>0</v>
      </c>
      <c r="O36" s="6">
        <f>'Importe $ (Distribuidores)'!P39/'Importe $ (Distribuidores)'!P$131</f>
        <v>0</v>
      </c>
      <c r="P36" s="6">
        <f>'Importe $ (Distribuidores)'!Q39/'Importe $ (Distribuidores)'!Q$131</f>
        <v>0</v>
      </c>
      <c r="Q36" s="6">
        <f>'Importe $ (Distribuidores)'!R39/'Importe $ (Distribuidores)'!R$131</f>
        <v>0</v>
      </c>
      <c r="R36" s="6">
        <f>'Importe $ (Distribuidores)'!S39/'Importe $ (Distribuidores)'!S$131</f>
        <v>-3.7727083288450385E-4</v>
      </c>
      <c r="S36" s="6">
        <f>'Importe $ (Distribuidores)'!T39/'Importe $ (Distribuidores)'!T$131</f>
        <v>0</v>
      </c>
      <c r="T36" s="6">
        <f>'Importe $ (Distribuidores)'!U39/'Importe $ (Distribuidores)'!U$131</f>
        <v>0</v>
      </c>
      <c r="U36" s="6">
        <f>'Importe $ (Distribuidores)'!V39/'Importe $ (Distribuidores)'!V$131</f>
        <v>0</v>
      </c>
      <c r="V36" s="7">
        <f t="shared" si="0"/>
        <v>-4.9774609502003305E-4</v>
      </c>
      <c r="W36" s="7">
        <v>-4.7975913875634323E-4</v>
      </c>
    </row>
    <row r="37" spans="1:23" ht="15" customHeight="1" x14ac:dyDescent="0.25">
      <c r="A37" s="3" t="s">
        <v>62</v>
      </c>
      <c r="B37" s="6">
        <f>'Importe $ (Distribuidores)'!C40/'Importe $ (Distribuidores)'!C$131</f>
        <v>0</v>
      </c>
      <c r="C37" s="6">
        <f>'Importe $ (Distribuidores)'!D40/'Importe $ (Distribuidores)'!D$131</f>
        <v>0</v>
      </c>
      <c r="D37" s="6">
        <f>'Importe $ (Distribuidores)'!E40/'Importe $ (Distribuidores)'!E$131</f>
        <v>-5.2453303862420582E-4</v>
      </c>
      <c r="E37" s="6">
        <f>'Importe $ (Distribuidores)'!F40/'Importe $ (Distribuidores)'!F$131</f>
        <v>2.9257581455684142E-3</v>
      </c>
      <c r="F37" s="6">
        <f>'Importe $ (Distribuidores)'!G40/'Importe $ (Distribuidores)'!G$131</f>
        <v>0</v>
      </c>
      <c r="G37" s="6">
        <f>'Importe $ (Distribuidores)'!H40/'Importe $ (Distribuidores)'!H$131</f>
        <v>0</v>
      </c>
      <c r="H37" s="6">
        <f>'Importe $ (Distribuidores)'!I40/'Importe $ (Distribuidores)'!I$131</f>
        <v>4.5026378295753245E-3</v>
      </c>
      <c r="I37" s="6">
        <f>'Importe $ (Distribuidores)'!J40/'Importe $ (Distribuidores)'!J$131</f>
        <v>0</v>
      </c>
      <c r="J37" s="6">
        <f>'Importe $ (Distribuidores)'!K40/'Importe $ (Distribuidores)'!K$131</f>
        <v>4.9021199707171602E-3</v>
      </c>
      <c r="K37" s="6">
        <f>'Importe $ (Distribuidores)'!L40/'Importe $ (Distribuidores)'!L$131</f>
        <v>5.7224649108856118E-3</v>
      </c>
      <c r="L37" s="6">
        <f>'Importe $ (Distribuidores)'!M40/'Importe $ (Distribuidores)'!M$131</f>
        <v>8.6453495814630705E-3</v>
      </c>
      <c r="M37" s="6">
        <f>'Importe $ (Distribuidores)'!N40/'Importe $ (Distribuidores)'!N$131</f>
        <v>0</v>
      </c>
      <c r="N37" s="6">
        <f>'Importe $ (Distribuidores)'!O40/'Importe $ (Distribuidores)'!O$131</f>
        <v>-7.1062177236062857E-3</v>
      </c>
      <c r="O37" s="6">
        <f>'Importe $ (Distribuidores)'!P40/'Importe $ (Distribuidores)'!P$131</f>
        <v>4.4385324009652456E-3</v>
      </c>
      <c r="P37" s="6">
        <f>'Importe $ (Distribuidores)'!Q40/'Importe $ (Distribuidores)'!Q$131</f>
        <v>1.4272237316659097E-3</v>
      </c>
      <c r="Q37" s="6">
        <f>'Importe $ (Distribuidores)'!R40/'Importe $ (Distribuidores)'!R$131</f>
        <v>0</v>
      </c>
      <c r="R37" s="6">
        <f>'Importe $ (Distribuidores)'!S40/'Importe $ (Distribuidores)'!S$131</f>
        <v>5.2165843559338809E-5</v>
      </c>
      <c r="S37" s="6">
        <f>'Importe $ (Distribuidores)'!T40/'Importe $ (Distribuidores)'!T$131</f>
        <v>1.6313818478948003E-4</v>
      </c>
      <c r="T37" s="6">
        <f>'Importe $ (Distribuidores)'!U40/'Importe $ (Distribuidores)'!U$131</f>
        <v>0</v>
      </c>
      <c r="U37" s="6">
        <f>'Importe $ (Distribuidores)'!V40/'Importe $ (Distribuidores)'!V$131</f>
        <v>6.9907262099769586E-3</v>
      </c>
      <c r="V37" s="7">
        <f t="shared" si="0"/>
        <v>1.6069683023468013E-3</v>
      </c>
      <c r="W37" s="7">
        <v>9.4805611510278658E-3</v>
      </c>
    </row>
    <row r="38" spans="1:23" ht="15" customHeight="1" x14ac:dyDescent="0.25">
      <c r="A38" s="3" t="s">
        <v>63</v>
      </c>
      <c r="B38" s="6">
        <f>'Importe $ (Distribuidores)'!C41/'Importe $ (Distribuidores)'!C$131</f>
        <v>9.5625824289060028E-3</v>
      </c>
      <c r="C38" s="6">
        <f>'Importe $ (Distribuidores)'!D41/'Importe $ (Distribuidores)'!D$131</f>
        <v>0.81123292912574629</v>
      </c>
      <c r="D38" s="6">
        <f>'Importe $ (Distribuidores)'!E41/'Importe $ (Distribuidores)'!E$131</f>
        <v>1.6778803389748305E-2</v>
      </c>
      <c r="E38" s="6">
        <f>'Importe $ (Distribuidores)'!F41/'Importe $ (Distribuidores)'!F$131</f>
        <v>2.3435052355617762E-2</v>
      </c>
      <c r="F38" s="6">
        <f>'Importe $ (Distribuidores)'!G41/'Importe $ (Distribuidores)'!G$131</f>
        <v>1.116816047999805E-2</v>
      </c>
      <c r="G38" s="6">
        <f>'Importe $ (Distribuidores)'!H41/'Importe $ (Distribuidores)'!H$131</f>
        <v>0</v>
      </c>
      <c r="H38" s="6">
        <f>'Importe $ (Distribuidores)'!I41/'Importe $ (Distribuidores)'!I$131</f>
        <v>1.1043781101132638E-2</v>
      </c>
      <c r="I38" s="6">
        <f>'Importe $ (Distribuidores)'!J41/'Importe $ (Distribuidores)'!J$131</f>
        <v>0</v>
      </c>
      <c r="J38" s="6">
        <f>'Importe $ (Distribuidores)'!K41/'Importe $ (Distribuidores)'!K$131</f>
        <v>2.9167531410070047E-2</v>
      </c>
      <c r="K38" s="6">
        <f>'Importe $ (Distribuidores)'!L41/'Importe $ (Distribuidores)'!L$131</f>
        <v>1.7859454432043616E-2</v>
      </c>
      <c r="L38" s="6">
        <f>'Importe $ (Distribuidores)'!M41/'Importe $ (Distribuidores)'!M$131</f>
        <v>3.3246016960871039E-2</v>
      </c>
      <c r="M38" s="6">
        <f>'Importe $ (Distribuidores)'!N41/'Importe $ (Distribuidores)'!N$131</f>
        <v>0</v>
      </c>
      <c r="N38" s="6">
        <f>'Importe $ (Distribuidores)'!O41/'Importe $ (Distribuidores)'!O$131</f>
        <v>1.1669869645271726E-3</v>
      </c>
      <c r="O38" s="6">
        <f>'Importe $ (Distribuidores)'!P41/'Importe $ (Distribuidores)'!P$131</f>
        <v>2.4723715338437129E-2</v>
      </c>
      <c r="P38" s="6">
        <f>'Importe $ (Distribuidores)'!Q41/'Importe $ (Distribuidores)'!Q$131</f>
        <v>2.2139978627927891E-2</v>
      </c>
      <c r="Q38" s="6">
        <f>'Importe $ (Distribuidores)'!R41/'Importe $ (Distribuidores)'!R$131</f>
        <v>0</v>
      </c>
      <c r="R38" s="6">
        <f>'Importe $ (Distribuidores)'!S41/'Importe $ (Distribuidores)'!S$131</f>
        <v>3.9344690205250207E-2</v>
      </c>
      <c r="S38" s="6">
        <f>'Importe $ (Distribuidores)'!T41/'Importe $ (Distribuidores)'!T$131</f>
        <v>3.5942604872818244E-2</v>
      </c>
      <c r="T38" s="6">
        <f>'Importe $ (Distribuidores)'!U41/'Importe $ (Distribuidores)'!U$131</f>
        <v>1.0558704080686916E-2</v>
      </c>
      <c r="U38" s="6">
        <f>'Importe $ (Distribuidores)'!V41/'Importe $ (Distribuidores)'!V$131</f>
        <v>1.8157855216217281E-2</v>
      </c>
      <c r="V38" s="7">
        <f t="shared" si="0"/>
        <v>5.5776442349499925E-2</v>
      </c>
      <c r="W38" s="7">
        <v>3.0786620731883957E-2</v>
      </c>
    </row>
    <row r="39" spans="1:23" ht="15" customHeight="1" x14ac:dyDescent="0.25">
      <c r="A39" s="3" t="s">
        <v>64</v>
      </c>
      <c r="B39" s="6">
        <f>'Importe $ (Distribuidores)'!C42/'Importe $ (Distribuidores)'!C$131</f>
        <v>2.6391869569591022E-2</v>
      </c>
      <c r="C39" s="6">
        <f>'Importe $ (Distribuidores)'!D42/'Importe $ (Distribuidores)'!D$131</f>
        <v>0</v>
      </c>
      <c r="D39" s="6">
        <f>'Importe $ (Distribuidores)'!E42/'Importe $ (Distribuidores)'!E$131</f>
        <v>2.1784570955595117E-2</v>
      </c>
      <c r="E39" s="6">
        <f>'Importe $ (Distribuidores)'!F42/'Importe $ (Distribuidores)'!F$131</f>
        <v>5.4059082916778486E-3</v>
      </c>
      <c r="F39" s="6">
        <f>'Importe $ (Distribuidores)'!G42/'Importe $ (Distribuidores)'!G$131</f>
        <v>0</v>
      </c>
      <c r="G39" s="6">
        <f>'Importe $ (Distribuidores)'!H42/'Importe $ (Distribuidores)'!H$131</f>
        <v>0</v>
      </c>
      <c r="H39" s="6">
        <f>'Importe $ (Distribuidores)'!I42/'Importe $ (Distribuidores)'!I$131</f>
        <v>8.5275181324895588E-3</v>
      </c>
      <c r="I39" s="6">
        <f>'Importe $ (Distribuidores)'!J42/'Importe $ (Distribuidores)'!J$131</f>
        <v>0</v>
      </c>
      <c r="J39" s="6">
        <f>'Importe $ (Distribuidores)'!K42/'Importe $ (Distribuidores)'!K$131</f>
        <v>2.5155669778796224E-2</v>
      </c>
      <c r="K39" s="6">
        <f>'Importe $ (Distribuidores)'!L42/'Importe $ (Distribuidores)'!L$131</f>
        <v>8.3175496728339418E-3</v>
      </c>
      <c r="L39" s="6">
        <f>'Importe $ (Distribuidores)'!M42/'Importe $ (Distribuidores)'!M$131</f>
        <v>8.1528463860696555E-3</v>
      </c>
      <c r="M39" s="6">
        <f>'Importe $ (Distribuidores)'!N42/'Importe $ (Distribuidores)'!N$131</f>
        <v>0</v>
      </c>
      <c r="N39" s="6">
        <f>'Importe $ (Distribuidores)'!O42/'Importe $ (Distribuidores)'!O$131</f>
        <v>0</v>
      </c>
      <c r="O39" s="6">
        <f>'Importe $ (Distribuidores)'!P42/'Importe $ (Distribuidores)'!P$131</f>
        <v>2.6352047628273999E-2</v>
      </c>
      <c r="P39" s="6">
        <f>'Importe $ (Distribuidores)'!Q42/'Importe $ (Distribuidores)'!Q$131</f>
        <v>5.3992143056417899E-3</v>
      </c>
      <c r="Q39" s="6">
        <f>'Importe $ (Distribuidores)'!R42/'Importe $ (Distribuidores)'!R$131</f>
        <v>0</v>
      </c>
      <c r="R39" s="6">
        <f>'Importe $ (Distribuidores)'!S42/'Importe $ (Distribuidores)'!S$131</f>
        <v>5.3526813156485114E-3</v>
      </c>
      <c r="S39" s="6">
        <f>'Importe $ (Distribuidores)'!T42/'Importe $ (Distribuidores)'!T$131</f>
        <v>6.3403918644535902E-3</v>
      </c>
      <c r="T39" s="6">
        <f>'Importe $ (Distribuidores)'!U42/'Importe $ (Distribuidores)'!U$131</f>
        <v>4.2523923696385524E-2</v>
      </c>
      <c r="U39" s="6">
        <f>'Importe $ (Distribuidores)'!V42/'Importe $ (Distribuidores)'!V$131</f>
        <v>1.5351955078887369E-2</v>
      </c>
      <c r="V39" s="7">
        <f t="shared" si="0"/>
        <v>1.0252807333817207E-2</v>
      </c>
      <c r="W39" s="7">
        <v>1.6806701129007354E-2</v>
      </c>
    </row>
    <row r="40" spans="1:23" ht="15" customHeight="1" x14ac:dyDescent="0.25">
      <c r="A40" s="3" t="s">
        <v>65</v>
      </c>
      <c r="B40" s="6">
        <f>'Importe $ (Distribuidores)'!C43/'Importe $ (Distribuidores)'!C$131</f>
        <v>4.5192260244900063E-4</v>
      </c>
      <c r="C40" s="6">
        <f>'Importe $ (Distribuidores)'!D43/'Importe $ (Distribuidores)'!D$131</f>
        <v>0</v>
      </c>
      <c r="D40" s="6">
        <f>'Importe $ (Distribuidores)'!E43/'Importe $ (Distribuidores)'!E$131</f>
        <v>2.9609734843046877E-4</v>
      </c>
      <c r="E40" s="6">
        <f>'Importe $ (Distribuidores)'!F43/'Importe $ (Distribuidores)'!F$131</f>
        <v>1.2186059732541798E-4</v>
      </c>
      <c r="F40" s="6">
        <f>'Importe $ (Distribuidores)'!G43/'Importe $ (Distribuidores)'!G$131</f>
        <v>0</v>
      </c>
      <c r="G40" s="6">
        <f>'Importe $ (Distribuidores)'!H43/'Importe $ (Distribuidores)'!H$131</f>
        <v>0</v>
      </c>
      <c r="H40" s="6">
        <f>'Importe $ (Distribuidores)'!I43/'Importe $ (Distribuidores)'!I$131</f>
        <v>2.0426880455143015E-3</v>
      </c>
      <c r="I40" s="6">
        <f>'Importe $ (Distribuidores)'!J43/'Importe $ (Distribuidores)'!J$131</f>
        <v>0</v>
      </c>
      <c r="J40" s="6">
        <f>'Importe $ (Distribuidores)'!K43/'Importe $ (Distribuidores)'!K$131</f>
        <v>2.1366833304145559E-3</v>
      </c>
      <c r="K40" s="6">
        <f>'Importe $ (Distribuidores)'!L43/'Importe $ (Distribuidores)'!L$131</f>
        <v>2.3484301192464125E-3</v>
      </c>
      <c r="L40" s="6">
        <f>'Importe $ (Distribuidores)'!M43/'Importe $ (Distribuidores)'!M$131</f>
        <v>2.8824840165821669E-3</v>
      </c>
      <c r="M40" s="6">
        <f>'Importe $ (Distribuidores)'!N43/'Importe $ (Distribuidores)'!N$131</f>
        <v>0</v>
      </c>
      <c r="N40" s="6">
        <f>'Importe $ (Distribuidores)'!O43/'Importe $ (Distribuidores)'!O$131</f>
        <v>0</v>
      </c>
      <c r="O40" s="6">
        <f>'Importe $ (Distribuidores)'!P43/'Importe $ (Distribuidores)'!P$131</f>
        <v>2.2016099202085498E-4</v>
      </c>
      <c r="P40" s="6">
        <f>'Importe $ (Distribuidores)'!Q43/'Importe $ (Distribuidores)'!Q$131</f>
        <v>-2.8376461384664803E-4</v>
      </c>
      <c r="Q40" s="6">
        <f>'Importe $ (Distribuidores)'!R43/'Importe $ (Distribuidores)'!R$131</f>
        <v>0</v>
      </c>
      <c r="R40" s="6">
        <f>'Importe $ (Distribuidores)'!S43/'Importe $ (Distribuidores)'!S$131</f>
        <v>1.4636245250077345E-3</v>
      </c>
      <c r="S40" s="6">
        <f>'Importe $ (Distribuidores)'!T43/'Importe $ (Distribuidores)'!T$131</f>
        <v>9.8935415291684651E-6</v>
      </c>
      <c r="T40" s="6">
        <f>'Importe $ (Distribuidores)'!U43/'Importe $ (Distribuidores)'!U$131</f>
        <v>0</v>
      </c>
      <c r="U40" s="6">
        <f>'Importe $ (Distribuidores)'!V43/'Importe $ (Distribuidores)'!V$131</f>
        <v>3.777424226146226E-3</v>
      </c>
      <c r="V40" s="7">
        <f t="shared" si="0"/>
        <v>7.7337523654098296E-4</v>
      </c>
      <c r="W40" s="7">
        <v>4.8963524359673283E-4</v>
      </c>
    </row>
    <row r="41" spans="1:23" ht="15" customHeight="1" x14ac:dyDescent="0.25">
      <c r="A41" s="3" t="s">
        <v>66</v>
      </c>
      <c r="B41" s="6">
        <f>'Importe $ (Distribuidores)'!C44/'Importe $ (Distribuidores)'!C$131</f>
        <v>0</v>
      </c>
      <c r="C41" s="6">
        <f>'Importe $ (Distribuidores)'!D44/'Importe $ (Distribuidores)'!D$131</f>
        <v>0</v>
      </c>
      <c r="D41" s="6">
        <f>'Importe $ (Distribuidores)'!E44/'Importe $ (Distribuidores)'!E$131</f>
        <v>0</v>
      </c>
      <c r="E41" s="6">
        <f>'Importe $ (Distribuidores)'!F44/'Importe $ (Distribuidores)'!F$131</f>
        <v>0</v>
      </c>
      <c r="F41" s="6">
        <f>'Importe $ (Distribuidores)'!G44/'Importe $ (Distribuidores)'!G$131</f>
        <v>0</v>
      </c>
      <c r="G41" s="6">
        <f>'Importe $ (Distribuidores)'!H44/'Importe $ (Distribuidores)'!H$131</f>
        <v>0</v>
      </c>
      <c r="H41" s="6">
        <f>'Importe $ (Distribuidores)'!I44/'Importe $ (Distribuidores)'!I$131</f>
        <v>5.7159732785865469E-4</v>
      </c>
      <c r="I41" s="6">
        <f>'Importe $ (Distribuidores)'!J44/'Importe $ (Distribuidores)'!J$131</f>
        <v>0</v>
      </c>
      <c r="J41" s="6">
        <f>'Importe $ (Distribuidores)'!K44/'Importe $ (Distribuidores)'!K$131</f>
        <v>5.5713834664067221E-4</v>
      </c>
      <c r="K41" s="6">
        <f>'Importe $ (Distribuidores)'!L44/'Importe $ (Distribuidores)'!L$131</f>
        <v>1.3201234398130719E-3</v>
      </c>
      <c r="L41" s="6">
        <f>'Importe $ (Distribuidores)'!M44/'Importe $ (Distribuidores)'!M$131</f>
        <v>0</v>
      </c>
      <c r="M41" s="6">
        <f>'Importe $ (Distribuidores)'!N44/'Importe $ (Distribuidores)'!N$131</f>
        <v>0</v>
      </c>
      <c r="N41" s="6">
        <f>'Importe $ (Distribuidores)'!O44/'Importe $ (Distribuidores)'!O$131</f>
        <v>0</v>
      </c>
      <c r="O41" s="6">
        <f>'Importe $ (Distribuidores)'!P44/'Importe $ (Distribuidores)'!P$131</f>
        <v>3.7482606168425131E-5</v>
      </c>
      <c r="P41" s="6">
        <f>'Importe $ (Distribuidores)'!Q44/'Importe $ (Distribuidores)'!Q$131</f>
        <v>0</v>
      </c>
      <c r="Q41" s="6">
        <f>'Importe $ (Distribuidores)'!R44/'Importe $ (Distribuidores)'!R$131</f>
        <v>0</v>
      </c>
      <c r="R41" s="6">
        <f>'Importe $ (Distribuidores)'!S44/'Importe $ (Distribuidores)'!S$131</f>
        <v>0</v>
      </c>
      <c r="S41" s="6">
        <f>'Importe $ (Distribuidores)'!T44/'Importe $ (Distribuidores)'!T$131</f>
        <v>0</v>
      </c>
      <c r="T41" s="6">
        <f>'Importe $ (Distribuidores)'!U44/'Importe $ (Distribuidores)'!U$131</f>
        <v>0</v>
      </c>
      <c r="U41" s="6">
        <f>'Importe $ (Distribuidores)'!V44/'Importe $ (Distribuidores)'!V$131</f>
        <v>0</v>
      </c>
      <c r="V41" s="7">
        <f t="shared" si="0"/>
        <v>1.243170860240412E-4</v>
      </c>
      <c r="W41" s="7">
        <v>1.3684958579378328E-4</v>
      </c>
    </row>
    <row r="42" spans="1:23" ht="15" customHeight="1" x14ac:dyDescent="0.25">
      <c r="A42" s="3" t="s">
        <v>67</v>
      </c>
      <c r="B42" s="6">
        <f>'Importe $ (Distribuidores)'!C45/'Importe $ (Distribuidores)'!C$131</f>
        <v>0</v>
      </c>
      <c r="C42" s="6">
        <f>'Importe $ (Distribuidores)'!D45/'Importe $ (Distribuidores)'!D$131</f>
        <v>0</v>
      </c>
      <c r="D42" s="6">
        <f>'Importe $ (Distribuidores)'!E45/'Importe $ (Distribuidores)'!E$131</f>
        <v>0</v>
      </c>
      <c r="E42" s="6">
        <f>'Importe $ (Distribuidores)'!F45/'Importe $ (Distribuidores)'!F$131</f>
        <v>-3.5211531292398848E-5</v>
      </c>
      <c r="F42" s="6">
        <f>'Importe $ (Distribuidores)'!G45/'Importe $ (Distribuidores)'!G$131</f>
        <v>0</v>
      </c>
      <c r="G42" s="6">
        <f>'Importe $ (Distribuidores)'!H45/'Importe $ (Distribuidores)'!H$131</f>
        <v>0</v>
      </c>
      <c r="H42" s="6">
        <f>'Importe $ (Distribuidores)'!I45/'Importe $ (Distribuidores)'!I$131</f>
        <v>-1.6184933780033113E-3</v>
      </c>
      <c r="I42" s="6">
        <f>'Importe $ (Distribuidores)'!J45/'Importe $ (Distribuidores)'!J$131</f>
        <v>0</v>
      </c>
      <c r="J42" s="6">
        <f>'Importe $ (Distribuidores)'!K45/'Importe $ (Distribuidores)'!K$131</f>
        <v>-6.511924301972348E-4</v>
      </c>
      <c r="K42" s="6">
        <f>'Importe $ (Distribuidores)'!L45/'Importe $ (Distribuidores)'!L$131</f>
        <v>-3.5936693639355846E-4</v>
      </c>
      <c r="L42" s="6">
        <f>'Importe $ (Distribuidores)'!M45/'Importe $ (Distribuidores)'!M$131</f>
        <v>-5.1720719772371489E-4</v>
      </c>
      <c r="M42" s="6">
        <f>'Importe $ (Distribuidores)'!N45/'Importe $ (Distribuidores)'!N$131</f>
        <v>0</v>
      </c>
      <c r="N42" s="6">
        <f>'Importe $ (Distribuidores)'!O45/'Importe $ (Distribuidores)'!O$131</f>
        <v>0</v>
      </c>
      <c r="O42" s="6">
        <f>'Importe $ (Distribuidores)'!P45/'Importe $ (Distribuidores)'!P$131</f>
        <v>-8.8971870431367025E-5</v>
      </c>
      <c r="P42" s="6">
        <f>'Importe $ (Distribuidores)'!Q45/'Importe $ (Distribuidores)'!Q$131</f>
        <v>0</v>
      </c>
      <c r="Q42" s="6">
        <f>'Importe $ (Distribuidores)'!R45/'Importe $ (Distribuidores)'!R$131</f>
        <v>0</v>
      </c>
      <c r="R42" s="6">
        <f>'Importe $ (Distribuidores)'!S45/'Importe $ (Distribuidores)'!S$131</f>
        <v>-1.3786687226396685E-5</v>
      </c>
      <c r="S42" s="6">
        <f>'Importe $ (Distribuidores)'!T45/'Importe $ (Distribuidores)'!T$131</f>
        <v>-7.7885326931751748E-6</v>
      </c>
      <c r="T42" s="6">
        <f>'Importe $ (Distribuidores)'!U45/'Importe $ (Distribuidores)'!U$131</f>
        <v>0</v>
      </c>
      <c r="U42" s="6">
        <f>'Importe $ (Distribuidores)'!V45/'Importe $ (Distribuidores)'!V$131</f>
        <v>0</v>
      </c>
      <c r="V42" s="7">
        <f t="shared" si="0"/>
        <v>-1.6460092819805785E-4</v>
      </c>
      <c r="W42" s="7">
        <v>-3.2464088428896597E-5</v>
      </c>
    </row>
    <row r="43" spans="1:23" ht="15" customHeight="1" x14ac:dyDescent="0.25">
      <c r="A43" s="3" t="s">
        <v>68</v>
      </c>
      <c r="B43" s="6">
        <f>'Importe $ (Distribuidores)'!C46/'Importe $ (Distribuidores)'!C$131</f>
        <v>7.3486544919967927E-3</v>
      </c>
      <c r="C43" s="6">
        <f>'Importe $ (Distribuidores)'!D46/'Importe $ (Distribuidores)'!D$131</f>
        <v>0</v>
      </c>
      <c r="D43" s="6">
        <f>'Importe $ (Distribuidores)'!E46/'Importe $ (Distribuidores)'!E$131</f>
        <v>6.4135803018524184E-3</v>
      </c>
      <c r="E43" s="6">
        <f>'Importe $ (Distribuidores)'!F46/'Importe $ (Distribuidores)'!F$131</f>
        <v>3.2794187921541379E-3</v>
      </c>
      <c r="F43" s="6">
        <f>'Importe $ (Distribuidores)'!G46/'Importe $ (Distribuidores)'!G$131</f>
        <v>0</v>
      </c>
      <c r="G43" s="6">
        <f>'Importe $ (Distribuidores)'!H46/'Importe $ (Distribuidores)'!H$131</f>
        <v>0</v>
      </c>
      <c r="H43" s="6">
        <f>'Importe $ (Distribuidores)'!I46/'Importe $ (Distribuidores)'!I$131</f>
        <v>4.1670454049830028E-5</v>
      </c>
      <c r="I43" s="6">
        <f>'Importe $ (Distribuidores)'!J46/'Importe $ (Distribuidores)'!J$131</f>
        <v>0</v>
      </c>
      <c r="J43" s="6">
        <f>'Importe $ (Distribuidores)'!K46/'Importe $ (Distribuidores)'!K$131</f>
        <v>1.1014191125704289E-3</v>
      </c>
      <c r="K43" s="6">
        <f>'Importe $ (Distribuidores)'!L46/'Importe $ (Distribuidores)'!L$131</f>
        <v>1.9222850088506135E-3</v>
      </c>
      <c r="L43" s="6">
        <f>'Importe $ (Distribuidores)'!M46/'Importe $ (Distribuidores)'!M$131</f>
        <v>4.9744399585947537E-3</v>
      </c>
      <c r="M43" s="6">
        <f>'Importe $ (Distribuidores)'!N46/'Importe $ (Distribuidores)'!N$131</f>
        <v>0</v>
      </c>
      <c r="N43" s="6">
        <f>'Importe $ (Distribuidores)'!O46/'Importe $ (Distribuidores)'!O$131</f>
        <v>0</v>
      </c>
      <c r="O43" s="6">
        <f>'Importe $ (Distribuidores)'!P46/'Importe $ (Distribuidores)'!P$131</f>
        <v>-1.7143360400190231E-4</v>
      </c>
      <c r="P43" s="6">
        <f>'Importe $ (Distribuidores)'!Q46/'Importe $ (Distribuidores)'!Q$131</f>
        <v>0</v>
      </c>
      <c r="Q43" s="6">
        <f>'Importe $ (Distribuidores)'!R46/'Importe $ (Distribuidores)'!R$131</f>
        <v>0</v>
      </c>
      <c r="R43" s="6">
        <f>'Importe $ (Distribuidores)'!S46/'Importe $ (Distribuidores)'!S$131</f>
        <v>6.1853785934644587E-5</v>
      </c>
      <c r="S43" s="6">
        <f>'Importe $ (Distribuidores)'!T46/'Importe $ (Distribuidores)'!T$131</f>
        <v>4.3458959923499485E-3</v>
      </c>
      <c r="T43" s="6">
        <f>'Importe $ (Distribuidores)'!U46/'Importe $ (Distribuidores)'!U$131</f>
        <v>0</v>
      </c>
      <c r="U43" s="6">
        <f>'Importe $ (Distribuidores)'!V46/'Importe $ (Distribuidores)'!V$131</f>
        <v>8.0744815587786487E-4</v>
      </c>
      <c r="V43" s="7">
        <f t="shared" si="0"/>
        <v>1.5062616225114762E-3</v>
      </c>
      <c r="W43" s="11">
        <v>1.7047008233497878E-3</v>
      </c>
    </row>
    <row r="44" spans="1:23" ht="15" customHeight="1" x14ac:dyDescent="0.25">
      <c r="A44" s="10" t="s">
        <v>69</v>
      </c>
      <c r="B44" s="6">
        <f>'Importe $ (Distribuidores)'!C47/'Importe $ (Distribuidores)'!C$131</f>
        <v>0</v>
      </c>
      <c r="C44" s="6">
        <f>'Importe $ (Distribuidores)'!D47/'Importe $ (Distribuidores)'!D$131</f>
        <v>0</v>
      </c>
      <c r="D44" s="6">
        <f>'Importe $ (Distribuidores)'!E47/'Importe $ (Distribuidores)'!E$131</f>
        <v>0</v>
      </c>
      <c r="E44" s="6">
        <f>'Importe $ (Distribuidores)'!F47/'Importe $ (Distribuidores)'!F$131</f>
        <v>0</v>
      </c>
      <c r="F44" s="6">
        <f>'Importe $ (Distribuidores)'!G47/'Importe $ (Distribuidores)'!G$131</f>
        <v>0</v>
      </c>
      <c r="G44" s="6">
        <f>'Importe $ (Distribuidores)'!H47/'Importe $ (Distribuidores)'!H$131</f>
        <v>0</v>
      </c>
      <c r="H44" s="6">
        <f>'Importe $ (Distribuidores)'!I47/'Importe $ (Distribuidores)'!I$131</f>
        <v>0</v>
      </c>
      <c r="I44" s="6">
        <f>'Importe $ (Distribuidores)'!J47/'Importe $ (Distribuidores)'!J$131</f>
        <v>0</v>
      </c>
      <c r="J44" s="6">
        <f>'Importe $ (Distribuidores)'!K47/'Importe $ (Distribuidores)'!K$131</f>
        <v>2.942096276645735E-4</v>
      </c>
      <c r="K44" s="6">
        <f>'Importe $ (Distribuidores)'!L47/'Importe $ (Distribuidores)'!L$131</f>
        <v>0</v>
      </c>
      <c r="L44" s="6">
        <f>'Importe $ (Distribuidores)'!M47/'Importe $ (Distribuidores)'!M$131</f>
        <v>0</v>
      </c>
      <c r="M44" s="6">
        <f>'Importe $ (Distribuidores)'!N47/'Importe $ (Distribuidores)'!N$131</f>
        <v>0</v>
      </c>
      <c r="N44" s="6">
        <f>'Importe $ (Distribuidores)'!O47/'Importe $ (Distribuidores)'!O$131</f>
        <v>0</v>
      </c>
      <c r="O44" s="6">
        <f>'Importe $ (Distribuidores)'!P47/'Importe $ (Distribuidores)'!P$131</f>
        <v>0</v>
      </c>
      <c r="P44" s="6">
        <f>'Importe $ (Distribuidores)'!Q47/'Importe $ (Distribuidores)'!Q$131</f>
        <v>0</v>
      </c>
      <c r="Q44" s="6">
        <f>'Importe $ (Distribuidores)'!R47/'Importe $ (Distribuidores)'!R$131</f>
        <v>0</v>
      </c>
      <c r="R44" s="6">
        <f>'Importe $ (Distribuidores)'!S47/'Importe $ (Distribuidores)'!S$131</f>
        <v>0</v>
      </c>
      <c r="S44" s="6">
        <f>'Importe $ (Distribuidores)'!T47/'Importe $ (Distribuidores)'!T$131</f>
        <v>0</v>
      </c>
      <c r="T44" s="6">
        <f>'Importe $ (Distribuidores)'!U47/'Importe $ (Distribuidores)'!U$131</f>
        <v>0</v>
      </c>
      <c r="U44" s="6">
        <f>'Importe $ (Distribuidores)'!V47/'Importe $ (Distribuidores)'!V$131</f>
        <v>0</v>
      </c>
      <c r="V44" s="7">
        <f t="shared" si="0"/>
        <v>1.4710481383228675E-5</v>
      </c>
      <c r="W44" s="7">
        <v>1.7047008233497878E-3</v>
      </c>
    </row>
    <row r="45" spans="1:23" ht="15" customHeight="1" x14ac:dyDescent="0.25">
      <c r="A45" s="3" t="s">
        <v>70</v>
      </c>
      <c r="B45" s="6">
        <f>'Importe $ (Distribuidores)'!C48/'Importe $ (Distribuidores)'!C$131</f>
        <v>0</v>
      </c>
      <c r="C45" s="6">
        <f>'Importe $ (Distribuidores)'!D48/'Importe $ (Distribuidores)'!D$131</f>
        <v>0</v>
      </c>
      <c r="D45" s="6">
        <f>'Importe $ (Distribuidores)'!E48/'Importe $ (Distribuidores)'!E$131</f>
        <v>0</v>
      </c>
      <c r="E45" s="6">
        <f>'Importe $ (Distribuidores)'!F48/'Importe $ (Distribuidores)'!F$131</f>
        <v>0</v>
      </c>
      <c r="F45" s="6">
        <f>'Importe $ (Distribuidores)'!G48/'Importe $ (Distribuidores)'!G$131</f>
        <v>0</v>
      </c>
      <c r="G45" s="6">
        <f>'Importe $ (Distribuidores)'!H48/'Importe $ (Distribuidores)'!H$131</f>
        <v>0</v>
      </c>
      <c r="H45" s="6">
        <f>'Importe $ (Distribuidores)'!I48/'Importe $ (Distribuidores)'!I$131</f>
        <v>1.405255545644994E-4</v>
      </c>
      <c r="I45" s="6">
        <f>'Importe $ (Distribuidores)'!J48/'Importe $ (Distribuidores)'!J$131</f>
        <v>0</v>
      </c>
      <c r="J45" s="6">
        <f>'Importe $ (Distribuidores)'!K48/'Importe $ (Distribuidores)'!K$131</f>
        <v>0</v>
      </c>
      <c r="K45" s="6">
        <f>'Importe $ (Distribuidores)'!L48/'Importe $ (Distribuidores)'!L$131</f>
        <v>0</v>
      </c>
      <c r="L45" s="6">
        <f>'Importe $ (Distribuidores)'!M48/'Importe $ (Distribuidores)'!M$131</f>
        <v>0</v>
      </c>
      <c r="M45" s="6">
        <f>'Importe $ (Distribuidores)'!N48/'Importe $ (Distribuidores)'!N$131</f>
        <v>0</v>
      </c>
      <c r="N45" s="6">
        <f>'Importe $ (Distribuidores)'!O48/'Importe $ (Distribuidores)'!O$131</f>
        <v>0</v>
      </c>
      <c r="O45" s="6">
        <f>'Importe $ (Distribuidores)'!P48/'Importe $ (Distribuidores)'!P$131</f>
        <v>1.1079069275888186E-3</v>
      </c>
      <c r="P45" s="6">
        <f>'Importe $ (Distribuidores)'!Q48/'Importe $ (Distribuidores)'!Q$131</f>
        <v>0</v>
      </c>
      <c r="Q45" s="6">
        <f>'Importe $ (Distribuidores)'!R48/'Importe $ (Distribuidores)'!R$131</f>
        <v>0</v>
      </c>
      <c r="R45" s="6">
        <f>'Importe $ (Distribuidores)'!S48/'Importe $ (Distribuidores)'!S$131</f>
        <v>0</v>
      </c>
      <c r="S45" s="6">
        <f>'Importe $ (Distribuidores)'!T48/'Importe $ (Distribuidores)'!T$131</f>
        <v>0</v>
      </c>
      <c r="T45" s="6">
        <f>'Importe $ (Distribuidores)'!U48/'Importe $ (Distribuidores)'!U$131</f>
        <v>0</v>
      </c>
      <c r="U45" s="6">
        <f>'Importe $ (Distribuidores)'!V48/'Importe $ (Distribuidores)'!V$131</f>
        <v>0</v>
      </c>
      <c r="V45" s="7">
        <f t="shared" si="0"/>
        <v>6.2421624107665902E-5</v>
      </c>
      <c r="W45" s="7">
        <v>1.004526701086668E-4</v>
      </c>
    </row>
    <row r="46" spans="1:23" ht="15" customHeight="1" x14ac:dyDescent="0.25">
      <c r="A46" s="3" t="s">
        <v>71</v>
      </c>
      <c r="B46" s="6">
        <f>'Importe $ (Distribuidores)'!C49/'Importe $ (Distribuidores)'!C$131</f>
        <v>5.5382022975220286E-3</v>
      </c>
      <c r="C46" s="6">
        <f>'Importe $ (Distribuidores)'!D49/'Importe $ (Distribuidores)'!D$131</f>
        <v>0</v>
      </c>
      <c r="D46" s="6">
        <f>'Importe $ (Distribuidores)'!E49/'Importe $ (Distribuidores)'!E$131</f>
        <v>2.5012785014154365E-3</v>
      </c>
      <c r="E46" s="6">
        <f>'Importe $ (Distribuidores)'!F49/'Importe $ (Distribuidores)'!F$131</f>
        <v>2.0718509164837817E-3</v>
      </c>
      <c r="F46" s="6">
        <f>'Importe $ (Distribuidores)'!G49/'Importe $ (Distribuidores)'!G$131</f>
        <v>0</v>
      </c>
      <c r="G46" s="6">
        <f>'Importe $ (Distribuidores)'!H49/'Importe $ (Distribuidores)'!H$131</f>
        <v>0</v>
      </c>
      <c r="H46" s="6">
        <f>'Importe $ (Distribuidores)'!I49/'Importe $ (Distribuidores)'!I$131</f>
        <v>3.9005052216530651E-4</v>
      </c>
      <c r="I46" s="6">
        <f>'Importe $ (Distribuidores)'!J49/'Importe $ (Distribuidores)'!J$131</f>
        <v>0</v>
      </c>
      <c r="J46" s="6">
        <f>'Importe $ (Distribuidores)'!K49/'Importe $ (Distribuidores)'!K$131</f>
        <v>3.6462968911302181E-3</v>
      </c>
      <c r="K46" s="6">
        <f>'Importe $ (Distribuidores)'!L49/'Importe $ (Distribuidores)'!L$131</f>
        <v>4.6984042425159966E-3</v>
      </c>
      <c r="L46" s="6">
        <f>'Importe $ (Distribuidores)'!M49/'Importe $ (Distribuidores)'!M$131</f>
        <v>7.1930696146839815E-3</v>
      </c>
      <c r="M46" s="6">
        <f>'Importe $ (Distribuidores)'!N49/'Importe $ (Distribuidores)'!N$131</f>
        <v>0</v>
      </c>
      <c r="N46" s="6">
        <f>'Importe $ (Distribuidores)'!O49/'Importe $ (Distribuidores)'!O$131</f>
        <v>0</v>
      </c>
      <c r="O46" s="6">
        <f>'Importe $ (Distribuidores)'!P49/'Importe $ (Distribuidores)'!P$131</f>
        <v>3.7699610730452847E-3</v>
      </c>
      <c r="P46" s="6">
        <f>'Importe $ (Distribuidores)'!Q49/'Importe $ (Distribuidores)'!Q$131</f>
        <v>6.7613602256436887E-3</v>
      </c>
      <c r="Q46" s="6">
        <f>'Importe $ (Distribuidores)'!R49/'Importe $ (Distribuidores)'!R$131</f>
        <v>0</v>
      </c>
      <c r="R46" s="6">
        <f>'Importe $ (Distribuidores)'!S49/'Importe $ (Distribuidores)'!S$131</f>
        <v>2.2476026310709407E-3</v>
      </c>
      <c r="S46" s="6">
        <f>'Importe $ (Distribuidores)'!T49/'Importe $ (Distribuidores)'!T$131</f>
        <v>4.8973030569383913E-4</v>
      </c>
      <c r="T46" s="6">
        <f>'Importe $ (Distribuidores)'!U49/'Importe $ (Distribuidores)'!U$131</f>
        <v>0</v>
      </c>
      <c r="U46" s="6">
        <f>'Importe $ (Distribuidores)'!V49/'Importe $ (Distribuidores)'!V$131</f>
        <v>3.8900113992182349E-3</v>
      </c>
      <c r="V46" s="7">
        <f t="shared" si="0"/>
        <v>2.1598909310294365E-3</v>
      </c>
      <c r="W46" s="7">
        <v>1.4349740683032306E-3</v>
      </c>
    </row>
    <row r="47" spans="1:23" ht="15" customHeight="1" x14ac:dyDescent="0.25">
      <c r="A47" s="3" t="s">
        <v>72</v>
      </c>
      <c r="B47" s="6">
        <f>'Importe $ (Distribuidores)'!C50/'Importe $ (Distribuidores)'!C$131</f>
        <v>0</v>
      </c>
      <c r="C47" s="6">
        <f>'Importe $ (Distribuidores)'!D50/'Importe $ (Distribuidores)'!D$131</f>
        <v>0</v>
      </c>
      <c r="D47" s="6">
        <f>'Importe $ (Distribuidores)'!E50/'Importe $ (Distribuidores)'!E$131</f>
        <v>0</v>
      </c>
      <c r="E47" s="6">
        <f>'Importe $ (Distribuidores)'!F50/'Importe $ (Distribuidores)'!F$131</f>
        <v>0</v>
      </c>
      <c r="F47" s="6">
        <f>'Importe $ (Distribuidores)'!G50/'Importe $ (Distribuidores)'!G$131</f>
        <v>0</v>
      </c>
      <c r="G47" s="6">
        <f>'Importe $ (Distribuidores)'!H50/'Importe $ (Distribuidores)'!H$131</f>
        <v>0</v>
      </c>
      <c r="H47" s="6">
        <f>'Importe $ (Distribuidores)'!I50/'Importe $ (Distribuidores)'!I$131</f>
        <v>0</v>
      </c>
      <c r="I47" s="6">
        <f>'Importe $ (Distribuidores)'!J50/'Importe $ (Distribuidores)'!J$131</f>
        <v>0</v>
      </c>
      <c r="J47" s="6">
        <f>'Importe $ (Distribuidores)'!K50/'Importe $ (Distribuidores)'!K$131</f>
        <v>5.1338734597503521E-4</v>
      </c>
      <c r="K47" s="6">
        <f>'Importe $ (Distribuidores)'!L50/'Importe $ (Distribuidores)'!L$131</f>
        <v>0</v>
      </c>
      <c r="L47" s="6">
        <f>'Importe $ (Distribuidores)'!M50/'Importe $ (Distribuidores)'!M$131</f>
        <v>0</v>
      </c>
      <c r="M47" s="6">
        <f>'Importe $ (Distribuidores)'!N50/'Importe $ (Distribuidores)'!N$131</f>
        <v>0</v>
      </c>
      <c r="N47" s="6">
        <f>'Importe $ (Distribuidores)'!O50/'Importe $ (Distribuidores)'!O$131</f>
        <v>0</v>
      </c>
      <c r="O47" s="6">
        <f>'Importe $ (Distribuidores)'!P50/'Importe $ (Distribuidores)'!P$131</f>
        <v>0</v>
      </c>
      <c r="P47" s="6">
        <f>'Importe $ (Distribuidores)'!Q50/'Importe $ (Distribuidores)'!Q$131</f>
        <v>0</v>
      </c>
      <c r="Q47" s="6">
        <f>'Importe $ (Distribuidores)'!R50/'Importe $ (Distribuidores)'!R$131</f>
        <v>0</v>
      </c>
      <c r="R47" s="6">
        <f>'Importe $ (Distribuidores)'!S50/'Importe $ (Distribuidores)'!S$131</f>
        <v>0</v>
      </c>
      <c r="S47" s="6">
        <f>'Importe $ (Distribuidores)'!T50/'Importe $ (Distribuidores)'!T$131</f>
        <v>0</v>
      </c>
      <c r="T47" s="6">
        <f>'Importe $ (Distribuidores)'!U50/'Importe $ (Distribuidores)'!U$131</f>
        <v>0</v>
      </c>
      <c r="U47" s="6">
        <f>'Importe $ (Distribuidores)'!V50/'Importe $ (Distribuidores)'!V$131</f>
        <v>0</v>
      </c>
      <c r="V47" s="7">
        <f t="shared" si="0"/>
        <v>2.5669367298751761E-5</v>
      </c>
      <c r="W47" s="7">
        <v>8.2354461375843134E-5</v>
      </c>
    </row>
    <row r="48" spans="1:23" ht="15" customHeight="1" x14ac:dyDescent="0.25">
      <c r="A48" s="3" t="s">
        <v>73</v>
      </c>
      <c r="B48" s="6">
        <f>'Importe $ (Distribuidores)'!C51/'Importe $ (Distribuidores)'!C$131</f>
        <v>2.8226555826545292E-5</v>
      </c>
      <c r="C48" s="6">
        <f>'Importe $ (Distribuidores)'!D51/'Importe $ (Distribuidores)'!D$131</f>
        <v>0</v>
      </c>
      <c r="D48" s="6">
        <f>'Importe $ (Distribuidores)'!E51/'Importe $ (Distribuidores)'!E$131</f>
        <v>5.6589045128496033E-3</v>
      </c>
      <c r="E48" s="6">
        <f>'Importe $ (Distribuidores)'!F51/'Importe $ (Distribuidores)'!F$131</f>
        <v>2.4839030992879355E-3</v>
      </c>
      <c r="F48" s="6">
        <f>'Importe $ (Distribuidores)'!G51/'Importe $ (Distribuidores)'!G$131</f>
        <v>0</v>
      </c>
      <c r="G48" s="6">
        <f>'Importe $ (Distribuidores)'!H51/'Importe $ (Distribuidores)'!H$131</f>
        <v>0</v>
      </c>
      <c r="H48" s="6">
        <f>'Importe $ (Distribuidores)'!I51/'Importe $ (Distribuidores)'!I$131</f>
        <v>3.4554202792580154E-3</v>
      </c>
      <c r="I48" s="6">
        <f>'Importe $ (Distribuidores)'!J51/'Importe $ (Distribuidores)'!J$131</f>
        <v>0</v>
      </c>
      <c r="J48" s="6">
        <f>'Importe $ (Distribuidores)'!K51/'Importe $ (Distribuidores)'!K$131</f>
        <v>1.2301339032419418E-2</v>
      </c>
      <c r="K48" s="6">
        <f>'Importe $ (Distribuidores)'!L51/'Importe $ (Distribuidores)'!L$131</f>
        <v>0</v>
      </c>
      <c r="L48" s="6">
        <f>'Importe $ (Distribuidores)'!M51/'Importe $ (Distribuidores)'!M$131</f>
        <v>1.6146956416740366E-3</v>
      </c>
      <c r="M48" s="6">
        <f>'Importe $ (Distribuidores)'!N51/'Importe $ (Distribuidores)'!N$131</f>
        <v>0</v>
      </c>
      <c r="N48" s="6">
        <f>'Importe $ (Distribuidores)'!O51/'Importe $ (Distribuidores)'!O$131</f>
        <v>0.11525123798343061</v>
      </c>
      <c r="O48" s="6">
        <f>'Importe $ (Distribuidores)'!P51/'Importe $ (Distribuidores)'!P$131</f>
        <v>5.9824212213552197E-3</v>
      </c>
      <c r="P48" s="6">
        <f>'Importe $ (Distribuidores)'!Q51/'Importe $ (Distribuidores)'!Q$131</f>
        <v>-6.6586943675875313E-3</v>
      </c>
      <c r="Q48" s="6">
        <f>'Importe $ (Distribuidores)'!R51/'Importe $ (Distribuidores)'!R$131</f>
        <v>0</v>
      </c>
      <c r="R48" s="6">
        <f>'Importe $ (Distribuidores)'!S51/'Importe $ (Distribuidores)'!S$131</f>
        <v>6.176249570841575E-2</v>
      </c>
      <c r="S48" s="6">
        <f>'Importe $ (Distribuidores)'!T51/'Importe $ (Distribuidores)'!T$131</f>
        <v>5.9361249175010801E-5</v>
      </c>
      <c r="T48" s="6">
        <f>'Importe $ (Distribuidores)'!U51/'Importe $ (Distribuidores)'!U$131</f>
        <v>0</v>
      </c>
      <c r="U48" s="6">
        <f>'Importe $ (Distribuidores)'!V51/'Importe $ (Distribuidores)'!V$131</f>
        <v>2.9072167293251656E-3</v>
      </c>
      <c r="V48" s="7">
        <f t="shared" si="0"/>
        <v>1.024232638227149E-2</v>
      </c>
      <c r="W48" s="7">
        <v>6.6637165353793429E-4</v>
      </c>
    </row>
    <row r="49" spans="1:23" ht="15" customHeight="1" x14ac:dyDescent="0.25">
      <c r="A49" s="3" t="s">
        <v>74</v>
      </c>
      <c r="B49" s="6">
        <f>'Importe $ (Distribuidores)'!C52/'Importe $ (Distribuidores)'!C$131</f>
        <v>8.3507437409054456E-4</v>
      </c>
      <c r="C49" s="6">
        <f>'Importe $ (Distribuidores)'!D52/'Importe $ (Distribuidores)'!D$131</f>
        <v>0</v>
      </c>
      <c r="D49" s="6">
        <f>'Importe $ (Distribuidores)'!E52/'Importe $ (Distribuidores)'!E$131</f>
        <v>4.2831691911325671E-3</v>
      </c>
      <c r="E49" s="6">
        <f>'Importe $ (Distribuidores)'!F52/'Importe $ (Distribuidores)'!F$131</f>
        <v>0</v>
      </c>
      <c r="F49" s="6">
        <f>'Importe $ (Distribuidores)'!G52/'Importe $ (Distribuidores)'!G$131</f>
        <v>0</v>
      </c>
      <c r="G49" s="6">
        <f>'Importe $ (Distribuidores)'!H52/'Importe $ (Distribuidores)'!H$131</f>
        <v>0</v>
      </c>
      <c r="H49" s="6">
        <f>'Importe $ (Distribuidores)'!I52/'Importe $ (Distribuidores)'!I$131</f>
        <v>1.1720262949946447E-3</v>
      </c>
      <c r="I49" s="6">
        <f>'Importe $ (Distribuidores)'!J52/'Importe $ (Distribuidores)'!J$131</f>
        <v>0</v>
      </c>
      <c r="J49" s="6">
        <f>'Importe $ (Distribuidores)'!K52/'Importe $ (Distribuidores)'!K$131</f>
        <v>2.1008934619151307E-3</v>
      </c>
      <c r="K49" s="6">
        <f>'Importe $ (Distribuidores)'!L52/'Importe $ (Distribuidores)'!L$131</f>
        <v>0</v>
      </c>
      <c r="L49" s="6">
        <f>'Importe $ (Distribuidores)'!M52/'Importe $ (Distribuidores)'!M$131</f>
        <v>0</v>
      </c>
      <c r="M49" s="6">
        <f>'Importe $ (Distribuidores)'!N52/'Importe $ (Distribuidores)'!N$131</f>
        <v>0</v>
      </c>
      <c r="N49" s="6">
        <f>'Importe $ (Distribuidores)'!O52/'Importe $ (Distribuidores)'!O$131</f>
        <v>0</v>
      </c>
      <c r="O49" s="6">
        <f>'Importe $ (Distribuidores)'!P52/'Importe $ (Distribuidores)'!P$131</f>
        <v>1.2310076973209097E-3</v>
      </c>
      <c r="P49" s="6">
        <f>'Importe $ (Distribuidores)'!Q52/'Importe $ (Distribuidores)'!Q$131</f>
        <v>0</v>
      </c>
      <c r="Q49" s="6">
        <f>'Importe $ (Distribuidores)'!R52/'Importe $ (Distribuidores)'!R$131</f>
        <v>0</v>
      </c>
      <c r="R49" s="6">
        <f>'Importe $ (Distribuidores)'!S52/'Importe $ (Distribuidores)'!S$131</f>
        <v>3.6329783907396674E-3</v>
      </c>
      <c r="S49" s="6">
        <f>'Importe $ (Distribuidores)'!T52/'Importe $ (Distribuidores)'!T$131</f>
        <v>0</v>
      </c>
      <c r="T49" s="6">
        <f>'Importe $ (Distribuidores)'!U52/'Importe $ (Distribuidores)'!U$131</f>
        <v>0</v>
      </c>
      <c r="U49" s="6">
        <f>'Importe $ (Distribuidores)'!V52/'Importe $ (Distribuidores)'!V$131</f>
        <v>0</v>
      </c>
      <c r="V49" s="7">
        <f t="shared" si="0"/>
        <v>6.6275747050967314E-4</v>
      </c>
      <c r="W49" s="7">
        <v>2.8809363139346922E-3</v>
      </c>
    </row>
    <row r="50" spans="1:23" ht="15" customHeight="1" x14ac:dyDescent="0.25">
      <c r="A50" s="3" t="s">
        <v>75</v>
      </c>
      <c r="B50" s="6">
        <f>'Importe $ (Distribuidores)'!C53/'Importe $ (Distribuidores)'!C$131</f>
        <v>2.4704283566845276E-3</v>
      </c>
      <c r="C50" s="6">
        <f>'Importe $ (Distribuidores)'!D53/'Importe $ (Distribuidores)'!D$131</f>
        <v>0</v>
      </c>
      <c r="D50" s="6">
        <f>'Importe $ (Distribuidores)'!E53/'Importe $ (Distribuidores)'!E$131</f>
        <v>9.2271258611000065E-3</v>
      </c>
      <c r="E50" s="6">
        <f>'Importe $ (Distribuidores)'!F53/'Importe $ (Distribuidores)'!F$131</f>
        <v>-5.395422098973217E-4</v>
      </c>
      <c r="F50" s="6">
        <f>'Importe $ (Distribuidores)'!G53/'Importe $ (Distribuidores)'!G$131</f>
        <v>0</v>
      </c>
      <c r="G50" s="6">
        <f>'Importe $ (Distribuidores)'!H53/'Importe $ (Distribuidores)'!H$131</f>
        <v>0</v>
      </c>
      <c r="H50" s="6">
        <f>'Importe $ (Distribuidores)'!I53/'Importe $ (Distribuidores)'!I$131</f>
        <v>-4.2983849449681349E-4</v>
      </c>
      <c r="I50" s="6">
        <f>'Importe $ (Distribuidores)'!J53/'Importe $ (Distribuidores)'!J$131</f>
        <v>0</v>
      </c>
      <c r="J50" s="6">
        <f>'Importe $ (Distribuidores)'!K53/'Importe $ (Distribuidores)'!K$131</f>
        <v>4.3361750619457214E-3</v>
      </c>
      <c r="K50" s="6">
        <f>'Importe $ (Distribuidores)'!L53/'Importe $ (Distribuidores)'!L$131</f>
        <v>1.3907616238732449E-3</v>
      </c>
      <c r="L50" s="6">
        <f>'Importe $ (Distribuidores)'!M53/'Importe $ (Distribuidores)'!M$131</f>
        <v>6.2884826357383385E-3</v>
      </c>
      <c r="M50" s="6">
        <f>'Importe $ (Distribuidores)'!N53/'Importe $ (Distribuidores)'!N$131</f>
        <v>0</v>
      </c>
      <c r="N50" s="6">
        <f>'Importe $ (Distribuidores)'!O53/'Importe $ (Distribuidores)'!O$131</f>
        <v>6.3725521869098856E-2</v>
      </c>
      <c r="O50" s="6">
        <f>'Importe $ (Distribuidores)'!P53/'Importe $ (Distribuidores)'!P$131</f>
        <v>1.8009405879555423E-3</v>
      </c>
      <c r="P50" s="6">
        <f>'Importe $ (Distribuidores)'!Q53/'Importe $ (Distribuidores)'!Q$131</f>
        <v>3.4014376906801921E-3</v>
      </c>
      <c r="Q50" s="6">
        <f>'Importe $ (Distribuidores)'!R53/'Importe $ (Distribuidores)'!R$131</f>
        <v>0</v>
      </c>
      <c r="R50" s="6">
        <f>'Importe $ (Distribuidores)'!S53/'Importe $ (Distribuidores)'!S$131</f>
        <v>1.0530048135620816E-3</v>
      </c>
      <c r="S50" s="6">
        <f>'Importe $ (Distribuidores)'!T53/'Importe $ (Distribuidores)'!T$131</f>
        <v>6.538894197687755E-3</v>
      </c>
      <c r="T50" s="6">
        <f>'Importe $ (Distribuidores)'!U53/'Importe $ (Distribuidores)'!U$131</f>
        <v>0</v>
      </c>
      <c r="U50" s="6">
        <f>'Importe $ (Distribuidores)'!V53/'Importe $ (Distribuidores)'!V$131</f>
        <v>7.9276080916941914E-3</v>
      </c>
      <c r="V50" s="7">
        <f t="shared" si="0"/>
        <v>5.359550004281316E-3</v>
      </c>
      <c r="W50" s="7">
        <v>2.9634502260763463E-3</v>
      </c>
    </row>
    <row r="51" spans="1:23" ht="15" customHeight="1" x14ac:dyDescent="0.25">
      <c r="A51" s="3" t="s">
        <v>76</v>
      </c>
      <c r="B51" s="6">
        <f>'Importe $ (Distribuidores)'!C54/'Importe $ (Distribuidores)'!C$131</f>
        <v>-1.349627554596336E-3</v>
      </c>
      <c r="C51" s="6">
        <f>'Importe $ (Distribuidores)'!D54/'Importe $ (Distribuidores)'!D$131</f>
        <v>0</v>
      </c>
      <c r="D51" s="6">
        <f>'Importe $ (Distribuidores)'!E54/'Importe $ (Distribuidores)'!E$131</f>
        <v>-9.4741840260377985E-4</v>
      </c>
      <c r="E51" s="6">
        <f>'Importe $ (Distribuidores)'!F54/'Importe $ (Distribuidores)'!F$131</f>
        <v>3.0730063673366269E-4</v>
      </c>
      <c r="F51" s="6">
        <f>'Importe $ (Distribuidores)'!G54/'Importe $ (Distribuidores)'!G$131</f>
        <v>0</v>
      </c>
      <c r="G51" s="6">
        <f>'Importe $ (Distribuidores)'!H54/'Importe $ (Distribuidores)'!H$131</f>
        <v>0</v>
      </c>
      <c r="H51" s="6">
        <f>'Importe $ (Distribuidores)'!I54/'Importe $ (Distribuidores)'!I$131</f>
        <v>5.2392536495889379E-4</v>
      </c>
      <c r="I51" s="6">
        <f>'Importe $ (Distribuidores)'!J54/'Importe $ (Distribuidores)'!J$131</f>
        <v>0</v>
      </c>
      <c r="J51" s="6">
        <f>'Importe $ (Distribuidores)'!K54/'Importe $ (Distribuidores)'!K$131</f>
        <v>9.4237260048882525E-4</v>
      </c>
      <c r="K51" s="6">
        <f>'Importe $ (Distribuidores)'!L54/'Importe $ (Distribuidores)'!L$131</f>
        <v>8.9552233344044642E-4</v>
      </c>
      <c r="L51" s="6">
        <f>'Importe $ (Distribuidores)'!M54/'Importe $ (Distribuidores)'!M$131</f>
        <v>8.13550102273136E-3</v>
      </c>
      <c r="M51" s="6">
        <f>'Importe $ (Distribuidores)'!N54/'Importe $ (Distribuidores)'!N$131</f>
        <v>0</v>
      </c>
      <c r="N51" s="6">
        <f>'Importe $ (Distribuidores)'!O54/'Importe $ (Distribuidores)'!O$131</f>
        <v>6.2098364320129478E-3</v>
      </c>
      <c r="O51" s="6">
        <f>'Importe $ (Distribuidores)'!P54/'Importe $ (Distribuidores)'!P$131</f>
        <v>6.0919098867419363E-4</v>
      </c>
      <c r="P51" s="6">
        <f>'Importe $ (Distribuidores)'!Q54/'Importe $ (Distribuidores)'!Q$131</f>
        <v>0</v>
      </c>
      <c r="Q51" s="6">
        <f>'Importe $ (Distribuidores)'!R54/'Importe $ (Distribuidores)'!R$131</f>
        <v>0</v>
      </c>
      <c r="R51" s="6">
        <f>'Importe $ (Distribuidores)'!S54/'Importe $ (Distribuidores)'!S$131</f>
        <v>-1.1830468092921488E-5</v>
      </c>
      <c r="S51" s="6">
        <f>'Importe $ (Distribuidores)'!T54/'Importe $ (Distribuidores)'!T$131</f>
        <v>0</v>
      </c>
      <c r="T51" s="6">
        <f>'Importe $ (Distribuidores)'!U54/'Importe $ (Distribuidores)'!U$131</f>
        <v>0</v>
      </c>
      <c r="U51" s="6">
        <f>'Importe $ (Distribuidores)'!V54/'Importe $ (Distribuidores)'!V$131</f>
        <v>2.4771550829752889E-3</v>
      </c>
      <c r="V51" s="7">
        <f t="shared" si="0"/>
        <v>8.8959640183612913E-4</v>
      </c>
      <c r="W51" s="7">
        <v>1.6475320004938944E-3</v>
      </c>
    </row>
    <row r="52" spans="1:23" ht="15" customHeight="1" x14ac:dyDescent="0.25">
      <c r="A52" s="3" t="s">
        <v>77</v>
      </c>
      <c r="B52" s="6">
        <f>'Importe $ (Distribuidores)'!C55/'Importe $ (Distribuidores)'!C$131</f>
        <v>3.3109553283800268E-2</v>
      </c>
      <c r="C52" s="6">
        <f>'Importe $ (Distribuidores)'!D55/'Importe $ (Distribuidores)'!D$131</f>
        <v>0</v>
      </c>
      <c r="D52" s="6">
        <f>'Importe $ (Distribuidores)'!E55/'Importe $ (Distribuidores)'!E$131</f>
        <v>1.5380084225825512E-2</v>
      </c>
      <c r="E52" s="6">
        <f>'Importe $ (Distribuidores)'!F55/'Importe $ (Distribuidores)'!F$131</f>
        <v>5.0856523688267742E-2</v>
      </c>
      <c r="F52" s="6">
        <f>'Importe $ (Distribuidores)'!G55/'Importe $ (Distribuidores)'!G$131</f>
        <v>2.1098013436504425E-2</v>
      </c>
      <c r="G52" s="6">
        <f>'Importe $ (Distribuidores)'!H55/'Importe $ (Distribuidores)'!H$131</f>
        <v>4.4013282579921438E-2</v>
      </c>
      <c r="H52" s="6">
        <f>'Importe $ (Distribuidores)'!I55/'Importe $ (Distribuidores)'!I$131</f>
        <v>3.5817096304378578E-2</v>
      </c>
      <c r="I52" s="6">
        <f>'Importe $ (Distribuidores)'!J55/'Importe $ (Distribuidores)'!J$131</f>
        <v>0</v>
      </c>
      <c r="J52" s="6">
        <f>'Importe $ (Distribuidores)'!K55/'Importe $ (Distribuidores)'!K$131</f>
        <v>4.1962929557635302E-2</v>
      </c>
      <c r="K52" s="6">
        <f>'Importe $ (Distribuidores)'!L55/'Importe $ (Distribuidores)'!L$131</f>
        <v>1.5187209572937229E-2</v>
      </c>
      <c r="L52" s="6">
        <f>'Importe $ (Distribuidores)'!M55/'Importe $ (Distribuidores)'!M$131</f>
        <v>0.21332757238820485</v>
      </c>
      <c r="M52" s="6">
        <f>'Importe $ (Distribuidores)'!N55/'Importe $ (Distribuidores)'!N$131</f>
        <v>0</v>
      </c>
      <c r="N52" s="6">
        <f>'Importe $ (Distribuidores)'!O55/'Importe $ (Distribuidores)'!O$131</f>
        <v>4.3811340328897535E-3</v>
      </c>
      <c r="O52" s="6">
        <f>'Importe $ (Distribuidores)'!P55/'Importe $ (Distribuidores)'!P$131</f>
        <v>2.3768847867824492E-2</v>
      </c>
      <c r="P52" s="6">
        <f>'Importe $ (Distribuidores)'!Q55/'Importe $ (Distribuidores)'!Q$131</f>
        <v>5.1583593720474975E-2</v>
      </c>
      <c r="Q52" s="6">
        <f>'Importe $ (Distribuidores)'!R55/'Importe $ (Distribuidores)'!R$131</f>
        <v>2.6542029348156356E-2</v>
      </c>
      <c r="R52" s="6">
        <f>'Importe $ (Distribuidores)'!S55/'Importe $ (Distribuidores)'!S$131</f>
        <v>3.1056841809760299E-2</v>
      </c>
      <c r="S52" s="6">
        <f>'Importe $ (Distribuidores)'!T55/'Importe $ (Distribuidores)'!T$131</f>
        <v>3.1828996605520188E-2</v>
      </c>
      <c r="T52" s="6">
        <f>'Importe $ (Distribuidores)'!U55/'Importe $ (Distribuidores)'!U$131</f>
        <v>0.15587601146259311</v>
      </c>
      <c r="U52" s="6">
        <f>'Importe $ (Distribuidores)'!V55/'Importe $ (Distribuidores)'!V$131</f>
        <v>8.2364965854630601E-2</v>
      </c>
      <c r="V52" s="7">
        <f t="shared" si="0"/>
        <v>4.3907734286966253E-2</v>
      </c>
      <c r="W52" s="7">
        <v>4.2176277152948388E-2</v>
      </c>
    </row>
    <row r="53" spans="1:23" ht="15" customHeight="1" x14ac:dyDescent="0.25">
      <c r="A53" s="3" t="s">
        <v>78</v>
      </c>
      <c r="B53" s="6">
        <f>'Importe $ (Distribuidores)'!C56/'Importe $ (Distribuidores)'!C$131</f>
        <v>0</v>
      </c>
      <c r="C53" s="6">
        <f>'Importe $ (Distribuidores)'!D56/'Importe $ (Distribuidores)'!D$131</f>
        <v>0</v>
      </c>
      <c r="D53" s="6">
        <f>'Importe $ (Distribuidores)'!E56/'Importe $ (Distribuidores)'!E$131</f>
        <v>0</v>
      </c>
      <c r="E53" s="6">
        <f>'Importe $ (Distribuidores)'!F56/'Importe $ (Distribuidores)'!F$131</f>
        <v>2.1150098780365338E-3</v>
      </c>
      <c r="F53" s="6">
        <f>'Importe $ (Distribuidores)'!G56/'Importe $ (Distribuidores)'!G$131</f>
        <v>0</v>
      </c>
      <c r="G53" s="6">
        <f>'Importe $ (Distribuidores)'!H56/'Importe $ (Distribuidores)'!H$131</f>
        <v>0</v>
      </c>
      <c r="H53" s="6">
        <f>'Importe $ (Distribuidores)'!I56/'Importe $ (Distribuidores)'!I$131</f>
        <v>-1.8792305349050139E-4</v>
      </c>
      <c r="I53" s="6">
        <f>'Importe $ (Distribuidores)'!J56/'Importe $ (Distribuidores)'!J$131</f>
        <v>0</v>
      </c>
      <c r="J53" s="6">
        <f>'Importe $ (Distribuidores)'!K56/'Importe $ (Distribuidores)'!K$131</f>
        <v>3.1543778849531263E-3</v>
      </c>
      <c r="K53" s="6">
        <f>'Importe $ (Distribuidores)'!L56/'Importe $ (Distribuidores)'!L$131</f>
        <v>2.593926758930948E-4</v>
      </c>
      <c r="L53" s="6">
        <f>'Importe $ (Distribuidores)'!M56/'Importe $ (Distribuidores)'!M$131</f>
        <v>0</v>
      </c>
      <c r="M53" s="6">
        <f>'Importe $ (Distribuidores)'!N56/'Importe $ (Distribuidores)'!N$131</f>
        <v>0</v>
      </c>
      <c r="N53" s="6">
        <f>'Importe $ (Distribuidores)'!O56/'Importe $ (Distribuidores)'!O$131</f>
        <v>5.4980871360150989E-3</v>
      </c>
      <c r="O53" s="6">
        <f>'Importe $ (Distribuidores)'!P56/'Importe $ (Distribuidores)'!P$131</f>
        <v>9.2404488048896468E-4</v>
      </c>
      <c r="P53" s="6">
        <f>'Importe $ (Distribuidores)'!Q56/'Importe $ (Distribuidores)'!Q$131</f>
        <v>5.1164624342740154E-4</v>
      </c>
      <c r="Q53" s="6">
        <f>'Importe $ (Distribuidores)'!R56/'Importe $ (Distribuidores)'!R$131</f>
        <v>0</v>
      </c>
      <c r="R53" s="6">
        <f>'Importe $ (Distribuidores)'!S56/'Importe $ (Distribuidores)'!S$131</f>
        <v>0</v>
      </c>
      <c r="S53" s="6">
        <f>'Importe $ (Distribuidores)'!T56/'Importe $ (Distribuidores)'!T$131</f>
        <v>9.5988402921294057E-5</v>
      </c>
      <c r="T53" s="6">
        <f>'Importe $ (Distribuidores)'!U56/'Importe $ (Distribuidores)'!U$131</f>
        <v>0</v>
      </c>
      <c r="U53" s="6">
        <f>'Importe $ (Distribuidores)'!V56/'Importe $ (Distribuidores)'!V$131</f>
        <v>0</v>
      </c>
      <c r="V53" s="7">
        <f t="shared" si="0"/>
        <v>6.1853120241225066E-4</v>
      </c>
      <c r="W53" s="7">
        <v>1.624887877403936E-3</v>
      </c>
    </row>
    <row r="54" spans="1:23" ht="15" customHeight="1" x14ac:dyDescent="0.25">
      <c r="A54" s="3" t="s">
        <v>79</v>
      </c>
      <c r="B54" s="6">
        <f>'Importe $ (Distribuidores)'!C57/'Importe $ (Distribuidores)'!C$131</f>
        <v>0</v>
      </c>
      <c r="C54" s="6">
        <f>'Importe $ (Distribuidores)'!D57/'Importe $ (Distribuidores)'!D$131</f>
        <v>0</v>
      </c>
      <c r="D54" s="6">
        <f>'Importe $ (Distribuidores)'!E57/'Importe $ (Distribuidores)'!E$131</f>
        <v>0</v>
      </c>
      <c r="E54" s="6">
        <f>'Importe $ (Distribuidores)'!F57/'Importe $ (Distribuidores)'!F$131</f>
        <v>-2.096134731168195E-4</v>
      </c>
      <c r="F54" s="6">
        <f>'Importe $ (Distribuidores)'!G57/'Importe $ (Distribuidores)'!G$131</f>
        <v>0</v>
      </c>
      <c r="G54" s="6">
        <f>'Importe $ (Distribuidores)'!H57/'Importe $ (Distribuidores)'!H$131</f>
        <v>0</v>
      </c>
      <c r="H54" s="6">
        <f>'Importe $ (Distribuidores)'!I57/'Importe $ (Distribuidores)'!I$131</f>
        <v>-4.1391855025619077E-5</v>
      </c>
      <c r="I54" s="6">
        <f>'Importe $ (Distribuidores)'!J57/'Importe $ (Distribuidores)'!J$131</f>
        <v>0</v>
      </c>
      <c r="J54" s="6">
        <f>'Importe $ (Distribuidores)'!K57/'Importe $ (Distribuidores)'!K$131</f>
        <v>1.1434440270584358E-4</v>
      </c>
      <c r="K54" s="6">
        <f>'Importe $ (Distribuidores)'!L57/'Importe $ (Distribuidores)'!L$131</f>
        <v>0</v>
      </c>
      <c r="L54" s="6">
        <f>'Importe $ (Distribuidores)'!M57/'Importe $ (Distribuidores)'!M$131</f>
        <v>0</v>
      </c>
      <c r="M54" s="6">
        <f>'Importe $ (Distribuidores)'!N57/'Importe $ (Distribuidores)'!N$131</f>
        <v>0</v>
      </c>
      <c r="N54" s="6">
        <f>'Importe $ (Distribuidores)'!O57/'Importe $ (Distribuidores)'!O$131</f>
        <v>0</v>
      </c>
      <c r="O54" s="6">
        <f>'Importe $ (Distribuidores)'!P57/'Importe $ (Distribuidores)'!P$131</f>
        <v>0</v>
      </c>
      <c r="P54" s="6">
        <f>'Importe $ (Distribuidores)'!Q57/'Importe $ (Distribuidores)'!Q$131</f>
        <v>0</v>
      </c>
      <c r="Q54" s="6">
        <f>'Importe $ (Distribuidores)'!R57/'Importe $ (Distribuidores)'!R$131</f>
        <v>0</v>
      </c>
      <c r="R54" s="6">
        <f>'Importe $ (Distribuidores)'!S57/'Importe $ (Distribuidores)'!S$131</f>
        <v>0</v>
      </c>
      <c r="S54" s="6">
        <f>'Importe $ (Distribuidores)'!T57/'Importe $ (Distribuidores)'!T$131</f>
        <v>0</v>
      </c>
      <c r="T54" s="6">
        <f>'Importe $ (Distribuidores)'!U57/'Importe $ (Distribuidores)'!U$131</f>
        <v>0</v>
      </c>
      <c r="U54" s="6">
        <f>'Importe $ (Distribuidores)'!V57/'Importe $ (Distribuidores)'!V$131</f>
        <v>0</v>
      </c>
      <c r="V54" s="7">
        <f t="shared" si="0"/>
        <v>-6.8330462718297495E-6</v>
      </c>
      <c r="W54" s="7">
        <v>5.8933790454769808E-5</v>
      </c>
    </row>
    <row r="55" spans="1:23" ht="15" customHeight="1" x14ac:dyDescent="0.25">
      <c r="A55" s="3" t="s">
        <v>80</v>
      </c>
      <c r="B55" s="6">
        <f>'Importe $ (Distribuidores)'!C58/'Importe $ (Distribuidores)'!C$131</f>
        <v>0</v>
      </c>
      <c r="C55" s="6">
        <f>'Importe $ (Distribuidores)'!D58/'Importe $ (Distribuidores)'!D$131</f>
        <v>0</v>
      </c>
      <c r="D55" s="6">
        <f>'Importe $ (Distribuidores)'!E58/'Importe $ (Distribuidores)'!E$131</f>
        <v>0</v>
      </c>
      <c r="E55" s="6">
        <f>'Importe $ (Distribuidores)'!F58/'Importe $ (Distribuidores)'!F$131</f>
        <v>9.768716361684322E-5</v>
      </c>
      <c r="F55" s="6">
        <f>'Importe $ (Distribuidores)'!G58/'Importe $ (Distribuidores)'!G$131</f>
        <v>0</v>
      </c>
      <c r="G55" s="6">
        <f>'Importe $ (Distribuidores)'!H58/'Importe $ (Distribuidores)'!H$131</f>
        <v>0</v>
      </c>
      <c r="H55" s="6">
        <f>'Importe $ (Distribuidores)'!I58/'Importe $ (Distribuidores)'!I$131</f>
        <v>1.0825562083623449E-4</v>
      </c>
      <c r="I55" s="6">
        <f>'Importe $ (Distribuidores)'!J58/'Importe $ (Distribuidores)'!J$131</f>
        <v>0</v>
      </c>
      <c r="J55" s="6">
        <f>'Importe $ (Distribuidores)'!K58/'Importe $ (Distribuidores)'!K$131</f>
        <v>4.4502920952292814E-4</v>
      </c>
      <c r="K55" s="6">
        <f>'Importe $ (Distribuidores)'!L58/'Importe $ (Distribuidores)'!L$131</f>
        <v>0</v>
      </c>
      <c r="L55" s="6">
        <f>'Importe $ (Distribuidores)'!M58/'Importe $ (Distribuidores)'!M$131</f>
        <v>0</v>
      </c>
      <c r="M55" s="6">
        <f>'Importe $ (Distribuidores)'!N58/'Importe $ (Distribuidores)'!N$131</f>
        <v>0</v>
      </c>
      <c r="N55" s="6">
        <f>'Importe $ (Distribuidores)'!O58/'Importe $ (Distribuidores)'!O$131</f>
        <v>0</v>
      </c>
      <c r="O55" s="6">
        <f>'Importe $ (Distribuidores)'!P58/'Importe $ (Distribuidores)'!P$131</f>
        <v>7.0782942595952307E-4</v>
      </c>
      <c r="P55" s="6">
        <f>'Importe $ (Distribuidores)'!Q58/'Importe $ (Distribuidores)'!Q$131</f>
        <v>0</v>
      </c>
      <c r="Q55" s="6">
        <f>'Importe $ (Distribuidores)'!R58/'Importe $ (Distribuidores)'!R$131</f>
        <v>0</v>
      </c>
      <c r="R55" s="6">
        <f>'Importe $ (Distribuidores)'!S58/'Importe $ (Distribuidores)'!S$131</f>
        <v>1.1737314800851232E-4</v>
      </c>
      <c r="S55" s="6">
        <f>'Importe $ (Distribuidores)'!T58/'Importe $ (Distribuidores)'!T$131</f>
        <v>2.4140624060050328E-3</v>
      </c>
      <c r="T55" s="6">
        <f>'Importe $ (Distribuidores)'!U58/'Importe $ (Distribuidores)'!U$131</f>
        <v>0</v>
      </c>
      <c r="U55" s="6">
        <f>'Importe $ (Distribuidores)'!V58/'Importe $ (Distribuidores)'!V$131</f>
        <v>1.2812871118837699E-4</v>
      </c>
      <c r="V55" s="7">
        <f t="shared" si="0"/>
        <v>2.0091828425687256E-4</v>
      </c>
      <c r="W55" s="7">
        <v>6.6424272698938904E-4</v>
      </c>
    </row>
    <row r="56" spans="1:23" ht="15" customHeight="1" x14ac:dyDescent="0.25">
      <c r="A56" s="3" t="s">
        <v>81</v>
      </c>
      <c r="B56" s="6">
        <f>'Importe $ (Distribuidores)'!C59/'Importe $ (Distribuidores)'!C$131</f>
        <v>0</v>
      </c>
      <c r="C56" s="6">
        <f>'Importe $ (Distribuidores)'!D59/'Importe $ (Distribuidores)'!D$131</f>
        <v>0</v>
      </c>
      <c r="D56" s="6">
        <f>'Importe $ (Distribuidores)'!E59/'Importe $ (Distribuidores)'!E$131</f>
        <v>1.9367373733816826E-3</v>
      </c>
      <c r="E56" s="6">
        <f>'Importe $ (Distribuidores)'!F59/'Importe $ (Distribuidores)'!F$131</f>
        <v>0</v>
      </c>
      <c r="F56" s="6">
        <f>'Importe $ (Distribuidores)'!G59/'Importe $ (Distribuidores)'!G$131</f>
        <v>0</v>
      </c>
      <c r="G56" s="6">
        <f>'Importe $ (Distribuidores)'!H59/'Importe $ (Distribuidores)'!H$131</f>
        <v>0</v>
      </c>
      <c r="H56" s="6">
        <f>'Importe $ (Distribuidores)'!I59/'Importe $ (Distribuidores)'!I$131</f>
        <v>3.371844190163893E-3</v>
      </c>
      <c r="I56" s="6">
        <f>'Importe $ (Distribuidores)'!J59/'Importe $ (Distribuidores)'!J$131</f>
        <v>0</v>
      </c>
      <c r="J56" s="6">
        <f>'Importe $ (Distribuidores)'!K59/'Importe $ (Distribuidores)'!K$131</f>
        <v>3.1042106747350734E-3</v>
      </c>
      <c r="K56" s="6">
        <f>'Importe $ (Distribuidores)'!L59/'Importe $ (Distribuidores)'!L$131</f>
        <v>0</v>
      </c>
      <c r="L56" s="6">
        <f>'Importe $ (Distribuidores)'!M59/'Importe $ (Distribuidores)'!M$131</f>
        <v>0</v>
      </c>
      <c r="M56" s="6">
        <f>'Importe $ (Distribuidores)'!N59/'Importe $ (Distribuidores)'!N$131</f>
        <v>0</v>
      </c>
      <c r="N56" s="6">
        <f>'Importe $ (Distribuidores)'!O59/'Importe $ (Distribuidores)'!O$131</f>
        <v>0</v>
      </c>
      <c r="O56" s="6">
        <f>'Importe $ (Distribuidores)'!P59/'Importe $ (Distribuidores)'!P$131</f>
        <v>8.5697074313494093E-4</v>
      </c>
      <c r="P56" s="6">
        <f>'Importe $ (Distribuidores)'!Q59/'Importe $ (Distribuidores)'!Q$131</f>
        <v>0</v>
      </c>
      <c r="Q56" s="6">
        <f>'Importe $ (Distribuidores)'!R59/'Importe $ (Distribuidores)'!R$131</f>
        <v>5.3620261309406782E-3</v>
      </c>
      <c r="R56" s="6">
        <f>'Importe $ (Distribuidores)'!S59/'Importe $ (Distribuidores)'!S$131</f>
        <v>1.1625530850366934E-3</v>
      </c>
      <c r="S56" s="6">
        <f>'Importe $ (Distribuidores)'!T59/'Importe $ (Distribuidores)'!T$131</f>
        <v>3.4649287443983968E-2</v>
      </c>
      <c r="T56" s="6">
        <f>'Importe $ (Distribuidores)'!U59/'Importe $ (Distribuidores)'!U$131</f>
        <v>0</v>
      </c>
      <c r="U56" s="6">
        <f>'Importe $ (Distribuidores)'!V59/'Importe $ (Distribuidores)'!V$131</f>
        <v>0</v>
      </c>
      <c r="V56" s="7">
        <f t="shared" si="0"/>
        <v>2.5221814820688463E-3</v>
      </c>
      <c r="W56" s="7">
        <v>1.0383620004839365E-2</v>
      </c>
    </row>
    <row r="57" spans="1:23" ht="15" customHeight="1" x14ac:dyDescent="0.25">
      <c r="A57" s="3" t="s">
        <v>82</v>
      </c>
      <c r="B57" s="6">
        <f>'Importe $ (Distribuidores)'!C60/'Importe $ (Distribuidores)'!C$131</f>
        <v>-2.80803593324819E-5</v>
      </c>
      <c r="C57" s="6">
        <f>'Importe $ (Distribuidores)'!D60/'Importe $ (Distribuidores)'!D$131</f>
        <v>0</v>
      </c>
      <c r="D57" s="6">
        <f>'Importe $ (Distribuidores)'!E60/'Importe $ (Distribuidores)'!E$131</f>
        <v>2.1508958329383111E-4</v>
      </c>
      <c r="E57" s="6">
        <f>'Importe $ (Distribuidores)'!F60/'Importe $ (Distribuidores)'!F$131</f>
        <v>5.0135039225729025E-4</v>
      </c>
      <c r="F57" s="6">
        <f>'Importe $ (Distribuidores)'!G60/'Importe $ (Distribuidores)'!G$131</f>
        <v>0</v>
      </c>
      <c r="G57" s="6">
        <f>'Importe $ (Distribuidores)'!H60/'Importe $ (Distribuidores)'!H$131</f>
        <v>0</v>
      </c>
      <c r="H57" s="6">
        <f>'Importe $ (Distribuidores)'!I60/'Importe $ (Distribuidores)'!I$131</f>
        <v>7.6849550835546038E-4</v>
      </c>
      <c r="I57" s="6">
        <f>'Importe $ (Distribuidores)'!J60/'Importe $ (Distribuidores)'!J$131</f>
        <v>0</v>
      </c>
      <c r="J57" s="6">
        <f>'Importe $ (Distribuidores)'!K60/'Importe $ (Distribuidores)'!K$131</f>
        <v>2.5971256248594372E-3</v>
      </c>
      <c r="K57" s="6">
        <f>'Importe $ (Distribuidores)'!L60/'Importe $ (Distribuidores)'!L$131</f>
        <v>7.6428199147072595E-4</v>
      </c>
      <c r="L57" s="6">
        <f>'Importe $ (Distribuidores)'!M60/'Importe $ (Distribuidores)'!M$131</f>
        <v>2.570793093563708E-3</v>
      </c>
      <c r="M57" s="6">
        <f>'Importe $ (Distribuidores)'!N60/'Importe $ (Distribuidores)'!N$131</f>
        <v>0</v>
      </c>
      <c r="N57" s="6">
        <f>'Importe $ (Distribuidores)'!O60/'Importe $ (Distribuidores)'!O$131</f>
        <v>1.978803983328684E-3</v>
      </c>
      <c r="O57" s="6">
        <f>'Importe $ (Distribuidores)'!P60/'Importe $ (Distribuidores)'!P$131</f>
        <v>-7.6937981082556848E-6</v>
      </c>
      <c r="P57" s="6">
        <f>'Importe $ (Distribuidores)'!Q60/'Importe $ (Distribuidores)'!Q$131</f>
        <v>-3.7027030774351427E-5</v>
      </c>
      <c r="Q57" s="6">
        <f>'Importe $ (Distribuidores)'!R60/'Importe $ (Distribuidores)'!R$131</f>
        <v>0</v>
      </c>
      <c r="R57" s="6">
        <f>'Importe $ (Distribuidores)'!S60/'Importe $ (Distribuidores)'!S$131</f>
        <v>1.6935268498371065E-4</v>
      </c>
      <c r="S57" s="6">
        <f>'Importe $ (Distribuidores)'!T60/'Importe $ (Distribuidores)'!T$131</f>
        <v>0</v>
      </c>
      <c r="T57" s="6">
        <f>'Importe $ (Distribuidores)'!U60/'Importe $ (Distribuidores)'!U$131</f>
        <v>0</v>
      </c>
      <c r="U57" s="6">
        <f>'Importe $ (Distribuidores)'!V60/'Importe $ (Distribuidores)'!V$131</f>
        <v>6.6406263704242722E-3</v>
      </c>
      <c r="V57" s="7">
        <f t="shared" si="0"/>
        <v>8.066559022161015E-4</v>
      </c>
      <c r="W57" s="7">
        <v>4.3010848877143832E-4</v>
      </c>
    </row>
    <row r="58" spans="1:23" ht="15" customHeight="1" x14ac:dyDescent="0.25">
      <c r="A58" s="3" t="s">
        <v>83</v>
      </c>
      <c r="B58" s="6">
        <f>'Importe $ (Distribuidores)'!C61/'Importe $ (Distribuidores)'!C$131</f>
        <v>2.7199671652243552E-3</v>
      </c>
      <c r="C58" s="6">
        <f>'Importe $ (Distribuidores)'!D61/'Importe $ (Distribuidores)'!D$131</f>
        <v>0</v>
      </c>
      <c r="D58" s="6">
        <f>'Importe $ (Distribuidores)'!E61/'Importe $ (Distribuidores)'!E$131</f>
        <v>2.5410991568259383E-3</v>
      </c>
      <c r="E58" s="6">
        <f>'Importe $ (Distribuidores)'!F61/'Importe $ (Distribuidores)'!F$131</f>
        <v>2.2517719071001147E-3</v>
      </c>
      <c r="F58" s="6">
        <f>'Importe $ (Distribuidores)'!G61/'Importe $ (Distribuidores)'!G$131</f>
        <v>-2.0917662736861212E-3</v>
      </c>
      <c r="G58" s="6">
        <f>'Importe $ (Distribuidores)'!H61/'Importe $ (Distribuidores)'!H$131</f>
        <v>0</v>
      </c>
      <c r="H58" s="6">
        <f>'Importe $ (Distribuidores)'!I61/'Importe $ (Distribuidores)'!I$131</f>
        <v>2.6145303751122436E-4</v>
      </c>
      <c r="I58" s="6">
        <f>'Importe $ (Distribuidores)'!J61/'Importe $ (Distribuidores)'!J$131</f>
        <v>0</v>
      </c>
      <c r="J58" s="6">
        <f>'Importe $ (Distribuidores)'!K61/'Importe $ (Distribuidores)'!K$131</f>
        <v>3.4578080975395452E-3</v>
      </c>
      <c r="K58" s="6">
        <f>'Importe $ (Distribuidores)'!L61/'Importe $ (Distribuidores)'!L$131</f>
        <v>2.6205608283306854E-3</v>
      </c>
      <c r="L58" s="6">
        <f>'Importe $ (Distribuidores)'!M61/'Importe $ (Distribuidores)'!M$131</f>
        <v>4.8384075301785593E-3</v>
      </c>
      <c r="M58" s="6">
        <f>'Importe $ (Distribuidores)'!N61/'Importe $ (Distribuidores)'!N$131</f>
        <v>0</v>
      </c>
      <c r="N58" s="6">
        <f>'Importe $ (Distribuidores)'!O61/'Importe $ (Distribuidores)'!O$131</f>
        <v>4.7609685581796969E-3</v>
      </c>
      <c r="O58" s="6">
        <f>'Importe $ (Distribuidores)'!P61/'Importe $ (Distribuidores)'!P$131</f>
        <v>1.9271977876807638E-3</v>
      </c>
      <c r="P58" s="6">
        <f>'Importe $ (Distribuidores)'!Q61/'Importe $ (Distribuidores)'!Q$131</f>
        <v>8.579021683625211E-4</v>
      </c>
      <c r="Q58" s="6">
        <f>'Importe $ (Distribuidores)'!R61/'Importe $ (Distribuidores)'!R$131</f>
        <v>0</v>
      </c>
      <c r="R58" s="6">
        <f>'Importe $ (Distribuidores)'!S61/'Importe $ (Distribuidores)'!S$131</f>
        <v>7.9143036942882594E-4</v>
      </c>
      <c r="S58" s="6">
        <f>'Importe $ (Distribuidores)'!T61/'Importe $ (Distribuidores)'!T$131</f>
        <v>0</v>
      </c>
      <c r="T58" s="6">
        <f>'Importe $ (Distribuidores)'!U61/'Importe $ (Distribuidores)'!U$131</f>
        <v>3.3706067177795779E-3</v>
      </c>
      <c r="U58" s="6">
        <f>'Importe $ (Distribuidores)'!V61/'Importe $ (Distribuidores)'!V$131</f>
        <v>8.0878876183752071E-3</v>
      </c>
      <c r="V58" s="7">
        <f t="shared" si="0"/>
        <v>1.8197647334415447E-3</v>
      </c>
      <c r="W58" s="7">
        <v>1.5633302578865276E-3</v>
      </c>
    </row>
    <row r="59" spans="1:23" ht="15" customHeight="1" x14ac:dyDescent="0.25">
      <c r="A59" s="3" t="s">
        <v>84</v>
      </c>
      <c r="B59" s="6">
        <f>'Importe $ (Distribuidores)'!C62/'Importe $ (Distribuidores)'!C$131</f>
        <v>2.7787727113728305E-3</v>
      </c>
      <c r="C59" s="6">
        <f>'Importe $ (Distribuidores)'!D62/'Importe $ (Distribuidores)'!D$131</f>
        <v>0</v>
      </c>
      <c r="D59" s="6">
        <f>'Importe $ (Distribuidores)'!E62/'Importe $ (Distribuidores)'!E$131</f>
        <v>1.6571684789962347E-3</v>
      </c>
      <c r="E59" s="6">
        <f>'Importe $ (Distribuidores)'!F62/'Importe $ (Distribuidores)'!F$131</f>
        <v>0</v>
      </c>
      <c r="F59" s="6">
        <f>'Importe $ (Distribuidores)'!G62/'Importe $ (Distribuidores)'!G$131</f>
        <v>0</v>
      </c>
      <c r="G59" s="6">
        <f>'Importe $ (Distribuidores)'!H62/'Importe $ (Distribuidores)'!H$131</f>
        <v>0</v>
      </c>
      <c r="H59" s="6">
        <f>'Importe $ (Distribuidores)'!I62/'Importe $ (Distribuidores)'!I$131</f>
        <v>2.3485897740978674E-4</v>
      </c>
      <c r="I59" s="6">
        <f>'Importe $ (Distribuidores)'!J62/'Importe $ (Distribuidores)'!J$131</f>
        <v>0</v>
      </c>
      <c r="J59" s="6">
        <f>'Importe $ (Distribuidores)'!K62/'Importe $ (Distribuidores)'!K$131</f>
        <v>1.9546747941008844E-3</v>
      </c>
      <c r="K59" s="6">
        <f>'Importe $ (Distribuidores)'!L62/'Importe $ (Distribuidores)'!L$131</f>
        <v>3.7206636948415796E-3</v>
      </c>
      <c r="L59" s="6">
        <f>'Importe $ (Distribuidores)'!M62/'Importe $ (Distribuidores)'!M$131</f>
        <v>2.7865350094656467E-3</v>
      </c>
      <c r="M59" s="6">
        <f>'Importe $ (Distribuidores)'!N62/'Importe $ (Distribuidores)'!N$131</f>
        <v>0</v>
      </c>
      <c r="N59" s="6">
        <f>'Importe $ (Distribuidores)'!O62/'Importe $ (Distribuidores)'!O$131</f>
        <v>2.2642084040010902E-3</v>
      </c>
      <c r="O59" s="6">
        <f>'Importe $ (Distribuidores)'!P62/'Importe $ (Distribuidores)'!P$131</f>
        <v>9.5077589699328917E-4</v>
      </c>
      <c r="P59" s="6">
        <f>'Importe $ (Distribuidores)'!Q62/'Importe $ (Distribuidores)'!Q$131</f>
        <v>0</v>
      </c>
      <c r="Q59" s="6">
        <f>'Importe $ (Distribuidores)'!R62/'Importe $ (Distribuidores)'!R$131</f>
        <v>0</v>
      </c>
      <c r="R59" s="6">
        <f>'Importe $ (Distribuidores)'!S62/'Importe $ (Distribuidores)'!S$131</f>
        <v>1.7958091645302386E-3</v>
      </c>
      <c r="S59" s="6">
        <f>'Importe $ (Distribuidores)'!T62/'Importe $ (Distribuidores)'!T$131</f>
        <v>7.8906256217208491E-4</v>
      </c>
      <c r="T59" s="6">
        <f>'Importe $ (Distribuidores)'!U62/'Importe $ (Distribuidores)'!U$131</f>
        <v>0</v>
      </c>
      <c r="U59" s="6">
        <f>'Importe $ (Distribuidores)'!V62/'Importe $ (Distribuidores)'!V$131</f>
        <v>1.397670691213211E-3</v>
      </c>
      <c r="V59" s="7">
        <f t="shared" si="0"/>
        <v>1.0165100192548438E-3</v>
      </c>
      <c r="W59" s="7">
        <v>6.0849313989356298E-4</v>
      </c>
    </row>
    <row r="60" spans="1:23" ht="15" customHeight="1" x14ac:dyDescent="0.25">
      <c r="A60" s="10" t="s">
        <v>85</v>
      </c>
      <c r="B60" s="6">
        <f>'Importe $ (Distribuidores)'!C63/'Importe $ (Distribuidores)'!C$131</f>
        <v>0</v>
      </c>
      <c r="C60" s="6">
        <f>'Importe $ (Distribuidores)'!D63/'Importe $ (Distribuidores)'!D$131</f>
        <v>0</v>
      </c>
      <c r="D60" s="6">
        <f>'Importe $ (Distribuidores)'!E63/'Importe $ (Distribuidores)'!E$131</f>
        <v>0</v>
      </c>
      <c r="E60" s="6">
        <f>'Importe $ (Distribuidores)'!F63/'Importe $ (Distribuidores)'!F$131</f>
        <v>0</v>
      </c>
      <c r="F60" s="6">
        <f>'Importe $ (Distribuidores)'!G63/'Importe $ (Distribuidores)'!G$131</f>
        <v>0</v>
      </c>
      <c r="G60" s="6">
        <f>'Importe $ (Distribuidores)'!H63/'Importe $ (Distribuidores)'!H$131</f>
        <v>0</v>
      </c>
      <c r="H60" s="6">
        <f>'Importe $ (Distribuidores)'!I63/'Importe $ (Distribuidores)'!I$131</f>
        <v>2.4070955691821557E-4</v>
      </c>
      <c r="I60" s="6">
        <f>'Importe $ (Distribuidores)'!J63/'Importe $ (Distribuidores)'!J$131</f>
        <v>0</v>
      </c>
      <c r="J60" s="6">
        <f>'Importe $ (Distribuidores)'!K63/'Importe $ (Distribuidores)'!K$131</f>
        <v>0</v>
      </c>
      <c r="K60" s="6">
        <f>'Importe $ (Distribuidores)'!L63/'Importe $ (Distribuidores)'!L$131</f>
        <v>0</v>
      </c>
      <c r="L60" s="6">
        <f>'Importe $ (Distribuidores)'!M63/'Importe $ (Distribuidores)'!M$131</f>
        <v>0</v>
      </c>
      <c r="M60" s="6">
        <f>'Importe $ (Distribuidores)'!N63/'Importe $ (Distribuidores)'!N$131</f>
        <v>0</v>
      </c>
      <c r="N60" s="6">
        <f>'Importe $ (Distribuidores)'!O63/'Importe $ (Distribuidores)'!O$131</f>
        <v>0</v>
      </c>
      <c r="O60" s="6">
        <f>'Importe $ (Distribuidores)'!P63/'Importe $ (Distribuidores)'!P$131</f>
        <v>0</v>
      </c>
      <c r="P60" s="6">
        <f>'Importe $ (Distribuidores)'!Q63/'Importe $ (Distribuidores)'!Q$131</f>
        <v>0</v>
      </c>
      <c r="Q60" s="6">
        <f>'Importe $ (Distribuidores)'!R63/'Importe $ (Distribuidores)'!R$131</f>
        <v>0</v>
      </c>
      <c r="R60" s="6">
        <f>'Importe $ (Distribuidores)'!S63/'Importe $ (Distribuidores)'!S$131</f>
        <v>0</v>
      </c>
      <c r="S60" s="6">
        <f>'Importe $ (Distribuidores)'!T63/'Importe $ (Distribuidores)'!T$131</f>
        <v>0</v>
      </c>
      <c r="T60" s="6">
        <f>'Importe $ (Distribuidores)'!U63/'Importe $ (Distribuidores)'!U$131</f>
        <v>0</v>
      </c>
      <c r="U60" s="6">
        <f>'Importe $ (Distribuidores)'!V63/'Importe $ (Distribuidores)'!V$131</f>
        <v>0</v>
      </c>
      <c r="V60" s="7">
        <f t="shared" si="0"/>
        <v>1.2035477845910778E-5</v>
      </c>
      <c r="W60" s="11">
        <v>8.0816384852962737E-5</v>
      </c>
    </row>
    <row r="61" spans="1:23" ht="15" customHeight="1" x14ac:dyDescent="0.25">
      <c r="A61" s="3" t="s">
        <v>86</v>
      </c>
      <c r="B61" s="6">
        <f>'Importe $ (Distribuidores)'!C64/'Importe $ (Distribuidores)'!C$131</f>
        <v>0</v>
      </c>
      <c r="C61" s="6">
        <f>'Importe $ (Distribuidores)'!D64/'Importe $ (Distribuidores)'!D$131</f>
        <v>0</v>
      </c>
      <c r="D61" s="6">
        <f>'Importe $ (Distribuidores)'!E64/'Importe $ (Distribuidores)'!E$131</f>
        <v>0</v>
      </c>
      <c r="E61" s="6">
        <f>'Importe $ (Distribuidores)'!F64/'Importe $ (Distribuidores)'!F$131</f>
        <v>6.4904013792885663E-4</v>
      </c>
      <c r="F61" s="6">
        <f>'Importe $ (Distribuidores)'!G64/'Importe $ (Distribuidores)'!G$131</f>
        <v>0</v>
      </c>
      <c r="G61" s="6">
        <f>'Importe $ (Distribuidores)'!H64/'Importe $ (Distribuidores)'!H$131</f>
        <v>0</v>
      </c>
      <c r="H61" s="6">
        <f>'Importe $ (Distribuidores)'!I64/'Importe $ (Distribuidores)'!I$131</f>
        <v>0</v>
      </c>
      <c r="I61" s="6">
        <f>'Importe $ (Distribuidores)'!J64/'Importe $ (Distribuidores)'!J$131</f>
        <v>0</v>
      </c>
      <c r="J61" s="6">
        <f>'Importe $ (Distribuidores)'!K64/'Importe $ (Distribuidores)'!K$131</f>
        <v>1.035651706577881E-4</v>
      </c>
      <c r="K61" s="6">
        <f>'Importe $ (Distribuidores)'!L64/'Importe $ (Distribuidores)'!L$131</f>
        <v>0</v>
      </c>
      <c r="L61" s="6">
        <f>'Importe $ (Distribuidores)'!M64/'Importe $ (Distribuidores)'!M$131</f>
        <v>0</v>
      </c>
      <c r="M61" s="6">
        <f>'Importe $ (Distribuidores)'!N64/'Importe $ (Distribuidores)'!N$131</f>
        <v>0</v>
      </c>
      <c r="N61" s="6">
        <f>'Importe $ (Distribuidores)'!O64/'Importe $ (Distribuidores)'!O$131</f>
        <v>0</v>
      </c>
      <c r="O61" s="6">
        <f>'Importe $ (Distribuidores)'!P64/'Importe $ (Distribuidores)'!P$131</f>
        <v>0</v>
      </c>
      <c r="P61" s="6">
        <f>'Importe $ (Distribuidores)'!Q64/'Importe $ (Distribuidores)'!Q$131</f>
        <v>0</v>
      </c>
      <c r="Q61" s="6">
        <f>'Importe $ (Distribuidores)'!R64/'Importe $ (Distribuidores)'!R$131</f>
        <v>0</v>
      </c>
      <c r="R61" s="6">
        <f>'Importe $ (Distribuidores)'!S64/'Importe $ (Distribuidores)'!S$131</f>
        <v>0</v>
      </c>
      <c r="S61" s="6">
        <f>'Importe $ (Distribuidores)'!T64/'Importe $ (Distribuidores)'!T$131</f>
        <v>0</v>
      </c>
      <c r="T61" s="6">
        <f>'Importe $ (Distribuidores)'!U64/'Importe $ (Distribuidores)'!U$131</f>
        <v>0</v>
      </c>
      <c r="U61" s="6">
        <f>'Importe $ (Distribuidores)'!V64/'Importe $ (Distribuidores)'!V$131</f>
        <v>0</v>
      </c>
      <c r="V61" s="7">
        <f t="shared" si="0"/>
        <v>3.7630265429332231E-5</v>
      </c>
      <c r="W61" s="7">
        <v>8.0816384852962737E-5</v>
      </c>
    </row>
    <row r="62" spans="1:23" ht="15" customHeight="1" x14ac:dyDescent="0.25">
      <c r="A62" s="3" t="s">
        <v>87</v>
      </c>
      <c r="B62" s="6">
        <f>'Importe $ (Distribuidores)'!C65/'Importe $ (Distribuidores)'!C$131</f>
        <v>2.1424165863675772E-3</v>
      </c>
      <c r="C62" s="6">
        <f>'Importe $ (Distribuidores)'!D65/'Importe $ (Distribuidores)'!D$131</f>
        <v>0</v>
      </c>
      <c r="D62" s="6">
        <f>'Importe $ (Distribuidores)'!E65/'Importe $ (Distribuidores)'!E$131</f>
        <v>0</v>
      </c>
      <c r="E62" s="6">
        <f>'Importe $ (Distribuidores)'!F65/'Importe $ (Distribuidores)'!F$131</f>
        <v>2.1227924535927138E-3</v>
      </c>
      <c r="F62" s="6">
        <f>'Importe $ (Distribuidores)'!G65/'Importe $ (Distribuidores)'!G$131</f>
        <v>0</v>
      </c>
      <c r="G62" s="6">
        <f>'Importe $ (Distribuidores)'!H65/'Importe $ (Distribuidores)'!H$131</f>
        <v>0</v>
      </c>
      <c r="H62" s="6">
        <f>'Importe $ (Distribuidores)'!I65/'Importe $ (Distribuidores)'!I$131</f>
        <v>1.7157668217200486E-4</v>
      </c>
      <c r="I62" s="6">
        <f>'Importe $ (Distribuidores)'!J65/'Importe $ (Distribuidores)'!J$131</f>
        <v>0</v>
      </c>
      <c r="J62" s="6">
        <f>'Importe $ (Distribuidores)'!K65/'Importe $ (Distribuidores)'!K$131</f>
        <v>9.2229180889569464E-5</v>
      </c>
      <c r="K62" s="6">
        <f>'Importe $ (Distribuidores)'!L65/'Importe $ (Distribuidores)'!L$131</f>
        <v>0</v>
      </c>
      <c r="L62" s="6">
        <f>'Importe $ (Distribuidores)'!M65/'Importe $ (Distribuidores)'!M$131</f>
        <v>0</v>
      </c>
      <c r="M62" s="6">
        <f>'Importe $ (Distribuidores)'!N65/'Importe $ (Distribuidores)'!N$131</f>
        <v>0</v>
      </c>
      <c r="N62" s="6">
        <f>'Importe $ (Distribuidores)'!O65/'Importe $ (Distribuidores)'!O$131</f>
        <v>0</v>
      </c>
      <c r="O62" s="6">
        <f>'Importe $ (Distribuidores)'!P65/'Importe $ (Distribuidores)'!P$131</f>
        <v>0</v>
      </c>
      <c r="P62" s="6">
        <f>'Importe $ (Distribuidores)'!Q65/'Importe $ (Distribuidores)'!Q$131</f>
        <v>5.7829489882123414E-3</v>
      </c>
      <c r="Q62" s="6">
        <f>'Importe $ (Distribuidores)'!R65/'Importe $ (Distribuidores)'!R$131</f>
        <v>0</v>
      </c>
      <c r="R62" s="6">
        <f>'Importe $ (Distribuidores)'!S65/'Importe $ (Distribuidores)'!S$131</f>
        <v>0</v>
      </c>
      <c r="S62" s="6">
        <f>'Importe $ (Distribuidores)'!T65/'Importe $ (Distribuidores)'!T$131</f>
        <v>1.1320710182194827E-4</v>
      </c>
      <c r="T62" s="6">
        <f>'Importe $ (Distribuidores)'!U65/'Importe $ (Distribuidores)'!U$131</f>
        <v>0</v>
      </c>
      <c r="U62" s="6">
        <f>'Importe $ (Distribuidores)'!V65/'Importe $ (Distribuidores)'!V$131</f>
        <v>-3.5116757881258877E-5</v>
      </c>
      <c r="V62" s="7">
        <f t="shared" si="0"/>
        <v>5.1950271175874485E-4</v>
      </c>
      <c r="W62" s="7">
        <v>2.3092010594297336E-3</v>
      </c>
    </row>
    <row r="63" spans="1:23" ht="15" customHeight="1" x14ac:dyDescent="0.25">
      <c r="A63" s="3" t="s">
        <v>88</v>
      </c>
      <c r="B63" s="6">
        <f>'Importe $ (Distribuidores)'!C66/'Importe $ (Distribuidores)'!C$131</f>
        <v>2.109094949817017E-2</v>
      </c>
      <c r="C63" s="6">
        <f>'Importe $ (Distribuidores)'!D66/'Importe $ (Distribuidores)'!D$131</f>
        <v>0</v>
      </c>
      <c r="D63" s="6">
        <f>'Importe $ (Distribuidores)'!E66/'Importe $ (Distribuidores)'!E$131</f>
        <v>1.2405516738041531E-2</v>
      </c>
      <c r="E63" s="6">
        <f>'Importe $ (Distribuidores)'!F66/'Importe $ (Distribuidores)'!F$131</f>
        <v>3.2929735759870793E-2</v>
      </c>
      <c r="F63" s="6">
        <f>'Importe $ (Distribuidores)'!G66/'Importe $ (Distribuidores)'!G$131</f>
        <v>0</v>
      </c>
      <c r="G63" s="6">
        <f>'Importe $ (Distribuidores)'!H66/'Importe $ (Distribuidores)'!H$131</f>
        <v>0</v>
      </c>
      <c r="H63" s="6">
        <f>'Importe $ (Distribuidores)'!I66/'Importe $ (Distribuidores)'!I$131</f>
        <v>1.0309815848458853E-2</v>
      </c>
      <c r="I63" s="6">
        <f>'Importe $ (Distribuidores)'!J66/'Importe $ (Distribuidores)'!J$131</f>
        <v>6.4123364119876181E-2</v>
      </c>
      <c r="J63" s="6">
        <f>'Importe $ (Distribuidores)'!K66/'Importe $ (Distribuidores)'!K$131</f>
        <v>2.1515780405027232E-2</v>
      </c>
      <c r="K63" s="6">
        <f>'Importe $ (Distribuidores)'!L66/'Importe $ (Distribuidores)'!L$131</f>
        <v>1.3510035202765358E-3</v>
      </c>
      <c r="L63" s="6">
        <f>'Importe $ (Distribuidores)'!M66/'Importe $ (Distribuidores)'!M$131</f>
        <v>3.967725582781511E-2</v>
      </c>
      <c r="M63" s="6">
        <f>'Importe $ (Distribuidores)'!N66/'Importe $ (Distribuidores)'!N$131</f>
        <v>0</v>
      </c>
      <c r="N63" s="6">
        <f>'Importe $ (Distribuidores)'!O66/'Importe $ (Distribuidores)'!O$131</f>
        <v>1.6289193046525121E-2</v>
      </c>
      <c r="O63" s="6">
        <f>'Importe $ (Distribuidores)'!P66/'Importe $ (Distribuidores)'!P$131</f>
        <v>1.2512976238705023E-2</v>
      </c>
      <c r="P63" s="6">
        <f>'Importe $ (Distribuidores)'!Q66/'Importe $ (Distribuidores)'!Q$131</f>
        <v>5.5592720613981912E-2</v>
      </c>
      <c r="Q63" s="6">
        <f>'Importe $ (Distribuidores)'!R66/'Importe $ (Distribuidores)'!R$131</f>
        <v>6.4640900641655785E-2</v>
      </c>
      <c r="R63" s="6">
        <f>'Importe $ (Distribuidores)'!S66/'Importe $ (Distribuidores)'!S$131</f>
        <v>8.5068517851471133E-3</v>
      </c>
      <c r="S63" s="6">
        <f>'Importe $ (Distribuidores)'!T66/'Importe $ (Distribuidores)'!T$131</f>
        <v>4.3633675656886931E-2</v>
      </c>
      <c r="T63" s="6">
        <f>'Importe $ (Distribuidores)'!U66/'Importe $ (Distribuidores)'!U$131</f>
        <v>8.2414456315504522E-2</v>
      </c>
      <c r="U63" s="6">
        <f>'Importe $ (Distribuidores)'!V66/'Importe $ (Distribuidores)'!V$131</f>
        <v>7.6028967189881004E-3</v>
      </c>
      <c r="V63" s="7">
        <f t="shared" si="0"/>
        <v>2.4729854636746547E-2</v>
      </c>
      <c r="W63" s="7">
        <v>1.3909236325127174E-2</v>
      </c>
    </row>
    <row r="64" spans="1:23" ht="15" customHeight="1" x14ac:dyDescent="0.25">
      <c r="A64" s="3" t="s">
        <v>89</v>
      </c>
      <c r="B64" s="6">
        <f>'Importe $ (Distribuidores)'!C67/'Importe $ (Distribuidores)'!C$131</f>
        <v>0</v>
      </c>
      <c r="C64" s="6">
        <f>'Importe $ (Distribuidores)'!D67/'Importe $ (Distribuidores)'!D$131</f>
        <v>0</v>
      </c>
      <c r="D64" s="6">
        <f>'Importe $ (Distribuidores)'!E67/'Importe $ (Distribuidores)'!E$131</f>
        <v>-2.4178179709364271E-4</v>
      </c>
      <c r="E64" s="6">
        <f>'Importe $ (Distribuidores)'!F67/'Importe $ (Distribuidores)'!F$131</f>
        <v>0</v>
      </c>
      <c r="F64" s="6">
        <f>'Importe $ (Distribuidores)'!G67/'Importe $ (Distribuidores)'!G$131</f>
        <v>0</v>
      </c>
      <c r="G64" s="6">
        <f>'Importe $ (Distribuidores)'!H67/'Importe $ (Distribuidores)'!H$131</f>
        <v>0</v>
      </c>
      <c r="H64" s="6">
        <f>'Importe $ (Distribuidores)'!I67/'Importe $ (Distribuidores)'!I$131</f>
        <v>3.2635885693276582E-5</v>
      </c>
      <c r="I64" s="6">
        <f>'Importe $ (Distribuidores)'!J67/'Importe $ (Distribuidores)'!J$131</f>
        <v>0</v>
      </c>
      <c r="J64" s="6">
        <f>'Importe $ (Distribuidores)'!K67/'Importe $ (Distribuidores)'!K$131</f>
        <v>1.0035958204218988E-4</v>
      </c>
      <c r="K64" s="6">
        <f>'Importe $ (Distribuidores)'!L67/'Importe $ (Distribuidores)'!L$131</f>
        <v>0</v>
      </c>
      <c r="L64" s="6">
        <f>'Importe $ (Distribuidores)'!M67/'Importe $ (Distribuidores)'!M$131</f>
        <v>0</v>
      </c>
      <c r="M64" s="6">
        <f>'Importe $ (Distribuidores)'!N67/'Importe $ (Distribuidores)'!N$131</f>
        <v>0</v>
      </c>
      <c r="N64" s="6">
        <f>'Importe $ (Distribuidores)'!O67/'Importe $ (Distribuidores)'!O$131</f>
        <v>0</v>
      </c>
      <c r="O64" s="6">
        <f>'Importe $ (Distribuidores)'!P67/'Importe $ (Distribuidores)'!P$131</f>
        <v>2.5882725943670405E-4</v>
      </c>
      <c r="P64" s="6">
        <f>'Importe $ (Distribuidores)'!Q67/'Importe $ (Distribuidores)'!Q$131</f>
        <v>0</v>
      </c>
      <c r="Q64" s="6">
        <f>'Importe $ (Distribuidores)'!R67/'Importe $ (Distribuidores)'!R$131</f>
        <v>0</v>
      </c>
      <c r="R64" s="6">
        <f>'Importe $ (Distribuidores)'!S67/'Importe $ (Distribuidores)'!S$131</f>
        <v>0</v>
      </c>
      <c r="S64" s="6">
        <f>'Importe $ (Distribuidores)'!T67/'Importe $ (Distribuidores)'!T$131</f>
        <v>0</v>
      </c>
      <c r="T64" s="6">
        <f>'Importe $ (Distribuidores)'!U67/'Importe $ (Distribuidores)'!U$131</f>
        <v>0</v>
      </c>
      <c r="U64" s="6">
        <f>'Importe $ (Distribuidores)'!V67/'Importe $ (Distribuidores)'!V$131</f>
        <v>0</v>
      </c>
      <c r="V64" s="7">
        <f t="shared" si="0"/>
        <v>7.5020465039263899E-6</v>
      </c>
      <c r="W64" s="7">
        <v>1.2060179335555122E-4</v>
      </c>
    </row>
    <row r="65" spans="1:23" ht="15" customHeight="1" x14ac:dyDescent="0.25">
      <c r="A65" s="3" t="s">
        <v>90</v>
      </c>
      <c r="B65" s="6">
        <f>'Importe $ (Distribuidores)'!C68/'Importe $ (Distribuidores)'!C$131</f>
        <v>0</v>
      </c>
      <c r="C65" s="6">
        <f>'Importe $ (Distribuidores)'!D68/'Importe $ (Distribuidores)'!D$131</f>
        <v>0</v>
      </c>
      <c r="D65" s="6">
        <f>'Importe $ (Distribuidores)'!E68/'Importe $ (Distribuidores)'!E$131</f>
        <v>1.2849507573397703E-3</v>
      </c>
      <c r="E65" s="6">
        <f>'Importe $ (Distribuidores)'!F68/'Importe $ (Distribuidores)'!F$131</f>
        <v>0</v>
      </c>
      <c r="F65" s="6">
        <f>'Importe $ (Distribuidores)'!G68/'Importe $ (Distribuidores)'!G$131</f>
        <v>0</v>
      </c>
      <c r="G65" s="6">
        <f>'Importe $ (Distribuidores)'!H68/'Importe $ (Distribuidores)'!H$131</f>
        <v>0</v>
      </c>
      <c r="H65" s="6">
        <f>'Importe $ (Distribuidores)'!I68/'Importe $ (Distribuidores)'!I$131</f>
        <v>0</v>
      </c>
      <c r="I65" s="6">
        <f>'Importe $ (Distribuidores)'!J68/'Importe $ (Distribuidores)'!J$131</f>
        <v>0</v>
      </c>
      <c r="J65" s="6">
        <f>'Importe $ (Distribuidores)'!K68/'Importe $ (Distribuidores)'!K$131</f>
        <v>3.7973895907855638E-5</v>
      </c>
      <c r="K65" s="6">
        <f>'Importe $ (Distribuidores)'!L68/'Importe $ (Distribuidores)'!L$131</f>
        <v>0</v>
      </c>
      <c r="L65" s="6">
        <f>'Importe $ (Distribuidores)'!M68/'Importe $ (Distribuidores)'!M$131</f>
        <v>0</v>
      </c>
      <c r="M65" s="6">
        <f>'Importe $ (Distribuidores)'!N68/'Importe $ (Distribuidores)'!N$131</f>
        <v>0</v>
      </c>
      <c r="N65" s="6">
        <f>'Importe $ (Distribuidores)'!O68/'Importe $ (Distribuidores)'!O$131</f>
        <v>0</v>
      </c>
      <c r="O65" s="6">
        <f>'Importe $ (Distribuidores)'!P68/'Importe $ (Distribuidores)'!P$131</f>
        <v>0</v>
      </c>
      <c r="P65" s="6">
        <f>'Importe $ (Distribuidores)'!Q68/'Importe $ (Distribuidores)'!Q$131</f>
        <v>0</v>
      </c>
      <c r="Q65" s="6">
        <f>'Importe $ (Distribuidores)'!R68/'Importe $ (Distribuidores)'!R$131</f>
        <v>0</v>
      </c>
      <c r="R65" s="6">
        <f>'Importe $ (Distribuidores)'!S68/'Importe $ (Distribuidores)'!S$131</f>
        <v>5.7755041083553679E-5</v>
      </c>
      <c r="S65" s="6">
        <f>'Importe $ (Distribuidores)'!T68/'Importe $ (Distribuidores)'!T$131</f>
        <v>0</v>
      </c>
      <c r="T65" s="6">
        <f>'Importe $ (Distribuidores)'!U68/'Importe $ (Distribuidores)'!U$131</f>
        <v>0</v>
      </c>
      <c r="U65" s="6">
        <f>'Importe $ (Distribuidores)'!V68/'Importe $ (Distribuidores)'!V$131</f>
        <v>7.1182617326876114E-4</v>
      </c>
      <c r="V65" s="7">
        <f t="shared" si="0"/>
        <v>1.0462529337999704E-4</v>
      </c>
      <c r="W65" s="7">
        <v>8.5538883460117268E-4</v>
      </c>
    </row>
    <row r="66" spans="1:23" ht="15" customHeight="1" x14ac:dyDescent="0.25">
      <c r="A66" s="3" t="s">
        <v>91</v>
      </c>
      <c r="B66" s="6">
        <f>'Importe $ (Distribuidores)'!C69/'Importe $ (Distribuidores)'!C$131</f>
        <v>1.5616709495859938E-3</v>
      </c>
      <c r="C66" s="6">
        <f>'Importe $ (Distribuidores)'!D69/'Importe $ (Distribuidores)'!D$131</f>
        <v>0</v>
      </c>
      <c r="D66" s="6">
        <f>'Importe $ (Distribuidores)'!E69/'Importe $ (Distribuidores)'!E$131</f>
        <v>3.6096563545559254E-4</v>
      </c>
      <c r="E66" s="6">
        <f>'Importe $ (Distribuidores)'!F69/'Importe $ (Distribuidores)'!F$131</f>
        <v>6.2938085607631598E-4</v>
      </c>
      <c r="F66" s="6">
        <f>'Importe $ (Distribuidores)'!G69/'Importe $ (Distribuidores)'!G$131</f>
        <v>0</v>
      </c>
      <c r="G66" s="6">
        <f>'Importe $ (Distribuidores)'!H69/'Importe $ (Distribuidores)'!H$131</f>
        <v>2.7072753503587094E-2</v>
      </c>
      <c r="H66" s="6">
        <f>'Importe $ (Distribuidores)'!I69/'Importe $ (Distribuidores)'!I$131</f>
        <v>1.1069065900884679E-2</v>
      </c>
      <c r="I66" s="6">
        <f>'Importe $ (Distribuidores)'!J69/'Importe $ (Distribuidores)'!J$131</f>
        <v>0</v>
      </c>
      <c r="J66" s="6">
        <f>'Importe $ (Distribuidores)'!K69/'Importe $ (Distribuidores)'!K$131</f>
        <v>1.922088684282068E-3</v>
      </c>
      <c r="K66" s="6">
        <f>'Importe $ (Distribuidores)'!L69/'Importe $ (Distribuidores)'!L$131</f>
        <v>2.1700976545699097E-3</v>
      </c>
      <c r="L66" s="6">
        <f>'Importe $ (Distribuidores)'!M69/'Importe $ (Distribuidores)'!M$131</f>
        <v>1.4633861872243499E-2</v>
      </c>
      <c r="M66" s="6">
        <f>'Importe $ (Distribuidores)'!N69/'Importe $ (Distribuidores)'!N$131</f>
        <v>0</v>
      </c>
      <c r="N66" s="6">
        <f>'Importe $ (Distribuidores)'!O69/'Importe $ (Distribuidores)'!O$131</f>
        <v>0</v>
      </c>
      <c r="O66" s="6">
        <f>'Importe $ (Distribuidores)'!P69/'Importe $ (Distribuidores)'!P$131</f>
        <v>8.9711658711006997E-4</v>
      </c>
      <c r="P66" s="6">
        <f>'Importe $ (Distribuidores)'!Q69/'Importe $ (Distribuidores)'!Q$131</f>
        <v>3.6463756522252828E-3</v>
      </c>
      <c r="Q66" s="6">
        <f>'Importe $ (Distribuidores)'!R69/'Importe $ (Distribuidores)'!R$131</f>
        <v>0</v>
      </c>
      <c r="R66" s="6">
        <f>'Importe $ (Distribuidores)'!S69/'Importe $ (Distribuidores)'!S$131</f>
        <v>9.1197072936772693E-4</v>
      </c>
      <c r="S66" s="6">
        <f>'Importe $ (Distribuidores)'!T69/'Importe $ (Distribuidores)'!T$131</f>
        <v>6.3234465433238446E-4</v>
      </c>
      <c r="T66" s="6">
        <f>'Importe $ (Distribuidores)'!U69/'Importe $ (Distribuidores)'!U$131</f>
        <v>-1.3258087058457768E-2</v>
      </c>
      <c r="U66" s="6">
        <f>'Importe $ (Distribuidores)'!V69/'Importe $ (Distribuidores)'!V$131</f>
        <v>5.7043376771847634E-3</v>
      </c>
      <c r="V66" s="7">
        <f t="shared" si="0"/>
        <v>2.8976971649223816E-3</v>
      </c>
      <c r="W66" s="7">
        <v>4.2968150047241272E-3</v>
      </c>
    </row>
    <row r="67" spans="1:23" ht="15" customHeight="1" x14ac:dyDescent="0.25">
      <c r="A67" s="3" t="s">
        <v>92</v>
      </c>
      <c r="B67" s="6">
        <f>'Importe $ (Distribuidores)'!C70/'Importe $ (Distribuidores)'!C$131</f>
        <v>2.0713119278912527E-3</v>
      </c>
      <c r="C67" s="6">
        <f>'Importe $ (Distribuidores)'!D70/'Importe $ (Distribuidores)'!D$131</f>
        <v>0</v>
      </c>
      <c r="D67" s="6">
        <f>'Importe $ (Distribuidores)'!E70/'Importe $ (Distribuidores)'!E$131</f>
        <v>1.1403782784100928E-2</v>
      </c>
      <c r="E67" s="6">
        <f>'Importe $ (Distribuidores)'!F70/'Importe $ (Distribuidores)'!F$131</f>
        <v>9.152472275251922E-3</v>
      </c>
      <c r="F67" s="6">
        <f>'Importe $ (Distribuidores)'!G70/'Importe $ (Distribuidores)'!G$131</f>
        <v>0</v>
      </c>
      <c r="G67" s="6">
        <f>'Importe $ (Distribuidores)'!H70/'Importe $ (Distribuidores)'!H$131</f>
        <v>0</v>
      </c>
      <c r="H67" s="6">
        <f>'Importe $ (Distribuidores)'!I70/'Importe $ (Distribuidores)'!I$131</f>
        <v>4.3035708151163863E-3</v>
      </c>
      <c r="I67" s="6">
        <f>'Importe $ (Distribuidores)'!J70/'Importe $ (Distribuidores)'!J$131</f>
        <v>2.273931936404293E-3</v>
      </c>
      <c r="J67" s="6">
        <f>'Importe $ (Distribuidores)'!K70/'Importe $ (Distribuidores)'!K$131</f>
        <v>3.8801886591971354E-3</v>
      </c>
      <c r="K67" s="6">
        <f>'Importe $ (Distribuidores)'!L70/'Importe $ (Distribuidores)'!L$131</f>
        <v>-4.6370250695948455E-7</v>
      </c>
      <c r="L67" s="6">
        <f>'Importe $ (Distribuidores)'!M70/'Importe $ (Distribuidores)'!M$131</f>
        <v>9.2733595882018224E-3</v>
      </c>
      <c r="M67" s="6">
        <f>'Importe $ (Distribuidores)'!N70/'Importe $ (Distribuidores)'!N$131</f>
        <v>0</v>
      </c>
      <c r="N67" s="6">
        <f>'Importe $ (Distribuidores)'!O70/'Importe $ (Distribuidores)'!O$131</f>
        <v>2.0859187288649944E-3</v>
      </c>
      <c r="O67" s="6">
        <f>'Importe $ (Distribuidores)'!P70/'Importe $ (Distribuidores)'!P$131</f>
        <v>2.7567278299703928E-3</v>
      </c>
      <c r="P67" s="6">
        <f>'Importe $ (Distribuidores)'!Q70/'Importe $ (Distribuidores)'!Q$131</f>
        <v>5.9175927364827101E-3</v>
      </c>
      <c r="Q67" s="6">
        <f>'Importe $ (Distribuidores)'!R70/'Importe $ (Distribuidores)'!R$131</f>
        <v>0</v>
      </c>
      <c r="R67" s="6">
        <f>'Importe $ (Distribuidores)'!S70/'Importe $ (Distribuidores)'!S$131</f>
        <v>2.6905743598742882E-3</v>
      </c>
      <c r="S67" s="6">
        <f>'Importe $ (Distribuidores)'!T70/'Importe $ (Distribuidores)'!T$131</f>
        <v>3.33590181772953E-3</v>
      </c>
      <c r="T67" s="6">
        <f>'Importe $ (Distribuidores)'!U70/'Importe $ (Distribuidores)'!U$131</f>
        <v>5.8135721872829742E-4</v>
      </c>
      <c r="U67" s="6">
        <f>'Importe $ (Distribuidores)'!V70/'Importe $ (Distribuidores)'!V$131</f>
        <v>8.7785962818369961E-3</v>
      </c>
      <c r="V67" s="7">
        <f t="shared" ref="V67:V127" si="1">AVERAGE(B67:U67)</f>
        <v>3.4252411628571998E-3</v>
      </c>
      <c r="W67" s="7">
        <v>3.0412039459455855E-3</v>
      </c>
    </row>
    <row r="68" spans="1:23" ht="15" customHeight="1" x14ac:dyDescent="0.25">
      <c r="A68" s="3" t="s">
        <v>93</v>
      </c>
      <c r="B68" s="6">
        <f>'Importe $ (Distribuidores)'!C71/'Importe $ (Distribuidores)'!C$131</f>
        <v>2.2073594613368372E-2</v>
      </c>
      <c r="C68" s="6">
        <f>'Importe $ (Distribuidores)'!D71/'Importe $ (Distribuidores)'!D$131</f>
        <v>0</v>
      </c>
      <c r="D68" s="6">
        <f>'Importe $ (Distribuidores)'!E71/'Importe $ (Distribuidores)'!E$131</f>
        <v>5.4678689594335091E-3</v>
      </c>
      <c r="E68" s="6">
        <f>'Importe $ (Distribuidores)'!F71/'Importe $ (Distribuidores)'!F$131</f>
        <v>1.3501138678678597E-2</v>
      </c>
      <c r="F68" s="6">
        <f>'Importe $ (Distribuidores)'!G71/'Importe $ (Distribuidores)'!G$131</f>
        <v>0</v>
      </c>
      <c r="G68" s="6">
        <f>'Importe $ (Distribuidores)'!H71/'Importe $ (Distribuidores)'!H$131</f>
        <v>0</v>
      </c>
      <c r="H68" s="6">
        <f>'Importe $ (Distribuidores)'!I71/'Importe $ (Distribuidores)'!I$131</f>
        <v>1.8965039328467433E-2</v>
      </c>
      <c r="I68" s="6">
        <f>'Importe $ (Distribuidores)'!J71/'Importe $ (Distribuidores)'!J$131</f>
        <v>0</v>
      </c>
      <c r="J68" s="6">
        <f>'Importe $ (Distribuidores)'!K71/'Importe $ (Distribuidores)'!K$131</f>
        <v>1.8288700117959987E-2</v>
      </c>
      <c r="K68" s="6">
        <f>'Importe $ (Distribuidores)'!L71/'Importe $ (Distribuidores)'!L$131</f>
        <v>7.3220530788930295E-3</v>
      </c>
      <c r="L68" s="6">
        <f>'Importe $ (Distribuidores)'!M71/'Importe $ (Distribuidores)'!M$131</f>
        <v>1.1810615582166541E-3</v>
      </c>
      <c r="M68" s="6">
        <f>'Importe $ (Distribuidores)'!N71/'Importe $ (Distribuidores)'!N$131</f>
        <v>0</v>
      </c>
      <c r="N68" s="6">
        <f>'Importe $ (Distribuidores)'!O71/'Importe $ (Distribuidores)'!O$131</f>
        <v>1.5996741603120054E-3</v>
      </c>
      <c r="O68" s="6">
        <f>'Importe $ (Distribuidores)'!P71/'Importe $ (Distribuidores)'!P$131</f>
        <v>1.3904942650395592E-2</v>
      </c>
      <c r="P68" s="6">
        <f>'Importe $ (Distribuidores)'!Q71/'Importe $ (Distribuidores)'!Q$131</f>
        <v>4.8331495472884491E-3</v>
      </c>
      <c r="Q68" s="6">
        <f>'Importe $ (Distribuidores)'!R71/'Importe $ (Distribuidores)'!R$131</f>
        <v>0</v>
      </c>
      <c r="R68" s="6">
        <f>'Importe $ (Distribuidores)'!S71/'Importe $ (Distribuidores)'!S$131</f>
        <v>4.4630673763776454E-3</v>
      </c>
      <c r="S68" s="6">
        <f>'Importe $ (Distribuidores)'!T71/'Importe $ (Distribuidores)'!T$131</f>
        <v>2.9962695771528504E-3</v>
      </c>
      <c r="T68" s="6">
        <f>'Importe $ (Distribuidores)'!U71/'Importe $ (Distribuidores)'!U$131</f>
        <v>1.1378889129811704E-2</v>
      </c>
      <c r="U68" s="6">
        <f>'Importe $ (Distribuidores)'!V71/'Importe $ (Distribuidores)'!V$131</f>
        <v>2.2229382289619046E-2</v>
      </c>
      <c r="V68" s="7">
        <f t="shared" si="1"/>
        <v>7.4102415532987425E-3</v>
      </c>
      <c r="W68" s="11">
        <v>1.7840423433003356E-2</v>
      </c>
    </row>
    <row r="69" spans="1:23" ht="15" customHeight="1" x14ac:dyDescent="0.25">
      <c r="A69" s="10" t="s">
        <v>94</v>
      </c>
      <c r="B69" s="6">
        <f>'Importe $ (Distribuidores)'!C72/'Importe $ (Distribuidores)'!C$131</f>
        <v>0</v>
      </c>
      <c r="C69" s="6">
        <f>'Importe $ (Distribuidores)'!D72/'Importe $ (Distribuidores)'!D$131</f>
        <v>0</v>
      </c>
      <c r="D69" s="6">
        <f>'Importe $ (Distribuidores)'!E72/'Importe $ (Distribuidores)'!E$131</f>
        <v>0</v>
      </c>
      <c r="E69" s="6">
        <f>'Importe $ (Distribuidores)'!F72/'Importe $ (Distribuidores)'!F$131</f>
        <v>0</v>
      </c>
      <c r="F69" s="6">
        <f>'Importe $ (Distribuidores)'!G72/'Importe $ (Distribuidores)'!G$131</f>
        <v>0</v>
      </c>
      <c r="G69" s="6">
        <f>'Importe $ (Distribuidores)'!H72/'Importe $ (Distribuidores)'!H$131</f>
        <v>0</v>
      </c>
      <c r="H69" s="6">
        <f>'Importe $ (Distribuidores)'!I72/'Importe $ (Distribuidores)'!I$131</f>
        <v>3.1925060182932783E-3</v>
      </c>
      <c r="I69" s="6">
        <f>'Importe $ (Distribuidores)'!J72/'Importe $ (Distribuidores)'!J$131</f>
        <v>0</v>
      </c>
      <c r="J69" s="6">
        <f>'Importe $ (Distribuidores)'!K72/'Importe $ (Distribuidores)'!K$131</f>
        <v>5.3008458777496434E-4</v>
      </c>
      <c r="K69" s="6">
        <f>'Importe $ (Distribuidores)'!L72/'Importe $ (Distribuidores)'!L$131</f>
        <v>0</v>
      </c>
      <c r="L69" s="6">
        <f>'Importe $ (Distribuidores)'!M72/'Importe $ (Distribuidores)'!M$131</f>
        <v>0</v>
      </c>
      <c r="M69" s="6">
        <f>'Importe $ (Distribuidores)'!N72/'Importe $ (Distribuidores)'!N$131</f>
        <v>0</v>
      </c>
      <c r="N69" s="6">
        <f>'Importe $ (Distribuidores)'!O72/'Importe $ (Distribuidores)'!O$131</f>
        <v>0</v>
      </c>
      <c r="O69" s="6">
        <f>'Importe $ (Distribuidores)'!P72/'Importe $ (Distribuidores)'!P$131</f>
        <v>0</v>
      </c>
      <c r="P69" s="6">
        <f>'Importe $ (Distribuidores)'!Q72/'Importe $ (Distribuidores)'!Q$131</f>
        <v>0</v>
      </c>
      <c r="Q69" s="6">
        <f>'Importe $ (Distribuidores)'!R72/'Importe $ (Distribuidores)'!R$131</f>
        <v>0</v>
      </c>
      <c r="R69" s="6">
        <f>'Importe $ (Distribuidores)'!S72/'Importe $ (Distribuidores)'!S$131</f>
        <v>0</v>
      </c>
      <c r="S69" s="6">
        <f>'Importe $ (Distribuidores)'!T72/'Importe $ (Distribuidores)'!T$131</f>
        <v>2.0460685885854788E-3</v>
      </c>
      <c r="T69" s="6">
        <f>'Importe $ (Distribuidores)'!U72/'Importe $ (Distribuidores)'!U$131</f>
        <v>0</v>
      </c>
      <c r="U69" s="6">
        <f>'Importe $ (Distribuidores)'!V72/'Importe $ (Distribuidores)'!V$131</f>
        <v>0</v>
      </c>
      <c r="V69" s="7">
        <f t="shared" si="1"/>
        <v>2.8843295973268604E-4</v>
      </c>
      <c r="W69" s="7">
        <v>3.8741862660739813E-4</v>
      </c>
    </row>
    <row r="70" spans="1:23" ht="15" customHeight="1" x14ac:dyDescent="0.25">
      <c r="A70" s="3" t="s">
        <v>95</v>
      </c>
      <c r="B70" s="6">
        <f>'Importe $ (Distribuidores)'!C73/'Importe $ (Distribuidores)'!C$131</f>
        <v>0</v>
      </c>
      <c r="C70" s="6">
        <f>'Importe $ (Distribuidores)'!D73/'Importe $ (Distribuidores)'!D$131</f>
        <v>0</v>
      </c>
      <c r="D70" s="6">
        <f>'Importe $ (Distribuidores)'!E73/'Importe $ (Distribuidores)'!E$131</f>
        <v>-2.8987433812016385E-3</v>
      </c>
      <c r="E70" s="6">
        <f>'Importe $ (Distribuidores)'!F73/'Importe $ (Distribuidores)'!F$131</f>
        <v>-1.4835203152659582E-4</v>
      </c>
      <c r="F70" s="6">
        <f>'Importe $ (Distribuidores)'!G73/'Importe $ (Distribuidores)'!G$131</f>
        <v>0</v>
      </c>
      <c r="G70" s="6">
        <f>'Importe $ (Distribuidores)'!H73/'Importe $ (Distribuidores)'!H$131</f>
        <v>0</v>
      </c>
      <c r="H70" s="6">
        <f>'Importe $ (Distribuidores)'!I73/'Importe $ (Distribuidores)'!I$131</f>
        <v>-5.0219464107044366E-4</v>
      </c>
      <c r="I70" s="6">
        <f>'Importe $ (Distribuidores)'!J73/'Importe $ (Distribuidores)'!J$131</f>
        <v>0</v>
      </c>
      <c r="J70" s="6">
        <f>'Importe $ (Distribuidores)'!K73/'Importe $ (Distribuidores)'!K$131</f>
        <v>-1.4405422071018998E-3</v>
      </c>
      <c r="K70" s="6">
        <f>'Importe $ (Distribuidores)'!L73/'Importe $ (Distribuidores)'!L$131</f>
        <v>0</v>
      </c>
      <c r="L70" s="6">
        <f>'Importe $ (Distribuidores)'!M73/'Importe $ (Distribuidores)'!M$131</f>
        <v>-1.0670026538405907E-3</v>
      </c>
      <c r="M70" s="6">
        <f>'Importe $ (Distribuidores)'!N73/'Importe $ (Distribuidores)'!N$131</f>
        <v>0</v>
      </c>
      <c r="N70" s="6">
        <f>'Importe $ (Distribuidores)'!O73/'Importe $ (Distribuidores)'!O$131</f>
        <v>0</v>
      </c>
      <c r="O70" s="6">
        <f>'Importe $ (Distribuidores)'!P73/'Importe $ (Distribuidores)'!P$131</f>
        <v>0</v>
      </c>
      <c r="P70" s="6">
        <f>'Importe $ (Distribuidores)'!Q73/'Importe $ (Distribuidores)'!Q$131</f>
        <v>0</v>
      </c>
      <c r="Q70" s="6">
        <f>'Importe $ (Distribuidores)'!R73/'Importe $ (Distribuidores)'!R$131</f>
        <v>0</v>
      </c>
      <c r="R70" s="6">
        <f>'Importe $ (Distribuidores)'!S73/'Importe $ (Distribuidores)'!S$131</f>
        <v>0</v>
      </c>
      <c r="S70" s="6">
        <f>'Importe $ (Distribuidores)'!T73/'Importe $ (Distribuidores)'!T$131</f>
        <v>0</v>
      </c>
      <c r="T70" s="6">
        <f>'Importe $ (Distribuidores)'!U73/'Importe $ (Distribuidores)'!U$131</f>
        <v>0</v>
      </c>
      <c r="U70" s="6">
        <f>'Importe $ (Distribuidores)'!V73/'Importe $ (Distribuidores)'!V$131</f>
        <v>0</v>
      </c>
      <c r="V70" s="7">
        <f t="shared" si="1"/>
        <v>-3.0284174573705846E-4</v>
      </c>
      <c r="W70" s="7">
        <v>-1.0395227539394644E-4</v>
      </c>
    </row>
    <row r="71" spans="1:23" ht="15" customHeight="1" x14ac:dyDescent="0.25">
      <c r="A71" s="3" t="s">
        <v>96</v>
      </c>
      <c r="B71" s="6">
        <f>'Importe $ (Distribuidores)'!C74/'Importe $ (Distribuidores)'!C$131</f>
        <v>0</v>
      </c>
      <c r="C71" s="6">
        <f>'Importe $ (Distribuidores)'!D74/'Importe $ (Distribuidores)'!D$131</f>
        <v>0</v>
      </c>
      <c r="D71" s="6">
        <f>'Importe $ (Distribuidores)'!E74/'Importe $ (Distribuidores)'!E$131</f>
        <v>0</v>
      </c>
      <c r="E71" s="6">
        <f>'Importe $ (Distribuidores)'!F74/'Importe $ (Distribuidores)'!F$131</f>
        <v>-2.0067261407392197E-4</v>
      </c>
      <c r="F71" s="6">
        <f>'Importe $ (Distribuidores)'!G74/'Importe $ (Distribuidores)'!G$131</f>
        <v>0</v>
      </c>
      <c r="G71" s="6">
        <f>'Importe $ (Distribuidores)'!H74/'Importe $ (Distribuidores)'!H$131</f>
        <v>0</v>
      </c>
      <c r="H71" s="6">
        <f>'Importe $ (Distribuidores)'!I74/'Importe $ (Distribuidores)'!I$131</f>
        <v>-4.8396630491493077E-4</v>
      </c>
      <c r="I71" s="6">
        <f>'Importe $ (Distribuidores)'!J74/'Importe $ (Distribuidores)'!J$131</f>
        <v>0</v>
      </c>
      <c r="J71" s="6">
        <f>'Importe $ (Distribuidores)'!K74/'Importe $ (Distribuidores)'!K$131</f>
        <v>2.4306111480909451E-4</v>
      </c>
      <c r="K71" s="6">
        <f>'Importe $ (Distribuidores)'!L74/'Importe $ (Distribuidores)'!L$131</f>
        <v>0</v>
      </c>
      <c r="L71" s="6">
        <f>'Importe $ (Distribuidores)'!M74/'Importe $ (Distribuidores)'!M$131</f>
        <v>0</v>
      </c>
      <c r="M71" s="6">
        <f>'Importe $ (Distribuidores)'!N74/'Importe $ (Distribuidores)'!N$131</f>
        <v>0</v>
      </c>
      <c r="N71" s="6">
        <f>'Importe $ (Distribuidores)'!O74/'Importe $ (Distribuidores)'!O$131</f>
        <v>0</v>
      </c>
      <c r="O71" s="6">
        <f>'Importe $ (Distribuidores)'!P74/'Importe $ (Distribuidores)'!P$131</f>
        <v>0</v>
      </c>
      <c r="P71" s="6">
        <f>'Importe $ (Distribuidores)'!Q74/'Importe $ (Distribuidores)'!Q$131</f>
        <v>0</v>
      </c>
      <c r="Q71" s="6">
        <f>'Importe $ (Distribuidores)'!R74/'Importe $ (Distribuidores)'!R$131</f>
        <v>0</v>
      </c>
      <c r="R71" s="6">
        <f>'Importe $ (Distribuidores)'!S74/'Importe $ (Distribuidores)'!S$131</f>
        <v>0</v>
      </c>
      <c r="S71" s="6">
        <f>'Importe $ (Distribuidores)'!T74/'Importe $ (Distribuidores)'!T$131</f>
        <v>0</v>
      </c>
      <c r="T71" s="6">
        <f>'Importe $ (Distribuidores)'!U74/'Importe $ (Distribuidores)'!U$131</f>
        <v>0</v>
      </c>
      <c r="U71" s="6">
        <f>'Importe $ (Distribuidores)'!V74/'Importe $ (Distribuidores)'!V$131</f>
        <v>0</v>
      </c>
      <c r="V71" s="7">
        <f t="shared" si="1"/>
        <v>-2.2078890208987909E-5</v>
      </c>
      <c r="W71" s="7">
        <v>4.5050127203631042E-5</v>
      </c>
    </row>
    <row r="72" spans="1:23" ht="15" customHeight="1" x14ac:dyDescent="0.25">
      <c r="A72" s="3" t="s">
        <v>97</v>
      </c>
      <c r="B72" s="6">
        <f>'Importe $ (Distribuidores)'!C75/'Importe $ (Distribuidores)'!C$131</f>
        <v>1.3815568688997981E-4</v>
      </c>
      <c r="C72" s="6">
        <f>'Importe $ (Distribuidores)'!D75/'Importe $ (Distribuidores)'!D$131</f>
        <v>0</v>
      </c>
      <c r="D72" s="6">
        <f>'Importe $ (Distribuidores)'!E75/'Importe $ (Distribuidores)'!E$131</f>
        <v>1.4635402901352542E-2</v>
      </c>
      <c r="E72" s="6">
        <f>'Importe $ (Distribuidores)'!F75/'Importe $ (Distribuidores)'!F$131</f>
        <v>7.0339173043160652E-3</v>
      </c>
      <c r="F72" s="6">
        <f>'Importe $ (Distribuidores)'!G75/'Importe $ (Distribuidores)'!G$131</f>
        <v>0</v>
      </c>
      <c r="G72" s="6">
        <f>'Importe $ (Distribuidores)'!H75/'Importe $ (Distribuidores)'!H$131</f>
        <v>0</v>
      </c>
      <c r="H72" s="6">
        <f>'Importe $ (Distribuidores)'!I75/'Importe $ (Distribuidores)'!I$131</f>
        <v>5.5085451921134442E-3</v>
      </c>
      <c r="I72" s="6">
        <f>'Importe $ (Distribuidores)'!J75/'Importe $ (Distribuidores)'!J$131</f>
        <v>0</v>
      </c>
      <c r="J72" s="6">
        <f>'Importe $ (Distribuidores)'!K75/'Importe $ (Distribuidores)'!K$131</f>
        <v>8.3489731624497804E-4</v>
      </c>
      <c r="K72" s="6">
        <f>'Importe $ (Distribuidores)'!L75/'Importe $ (Distribuidores)'!L$131</f>
        <v>0</v>
      </c>
      <c r="L72" s="6">
        <f>'Importe $ (Distribuidores)'!M75/'Importe $ (Distribuidores)'!M$131</f>
        <v>-8.9295787190781586E-3</v>
      </c>
      <c r="M72" s="6">
        <f>'Importe $ (Distribuidores)'!N75/'Importe $ (Distribuidores)'!N$131</f>
        <v>0</v>
      </c>
      <c r="N72" s="6">
        <f>'Importe $ (Distribuidores)'!O75/'Importe $ (Distribuidores)'!O$131</f>
        <v>3.4939138708488652E-3</v>
      </c>
      <c r="O72" s="6">
        <f>'Importe $ (Distribuidores)'!P75/'Importe $ (Distribuidores)'!P$131</f>
        <v>2.9838127278812108E-3</v>
      </c>
      <c r="P72" s="6">
        <f>'Importe $ (Distribuidores)'!Q75/'Importe $ (Distribuidores)'!Q$131</f>
        <v>-1.2005734220774555E-4</v>
      </c>
      <c r="Q72" s="6">
        <f>'Importe $ (Distribuidores)'!R75/'Importe $ (Distribuidores)'!R$131</f>
        <v>0</v>
      </c>
      <c r="R72" s="6">
        <f>'Importe $ (Distribuidores)'!S75/'Importe $ (Distribuidores)'!S$131</f>
        <v>8.0726642908076805E-4</v>
      </c>
      <c r="S72" s="6">
        <f>'Importe $ (Distribuidores)'!T75/'Importe $ (Distribuidores)'!T$131</f>
        <v>0</v>
      </c>
      <c r="T72" s="6">
        <f>'Importe $ (Distribuidores)'!U75/'Importe $ (Distribuidores)'!U$131</f>
        <v>0</v>
      </c>
      <c r="U72" s="6">
        <f>'Importe $ (Distribuidores)'!V75/'Importe $ (Distribuidores)'!V$131</f>
        <v>6.7788392857339591E-3</v>
      </c>
      <c r="V72" s="7">
        <f t="shared" si="1"/>
        <v>1.6582557326587956E-3</v>
      </c>
      <c r="W72" s="7">
        <v>1.8590712340402341E-2</v>
      </c>
    </row>
    <row r="73" spans="1:23" ht="15" customHeight="1" x14ac:dyDescent="0.25">
      <c r="A73" s="3" t="s">
        <v>98</v>
      </c>
      <c r="B73" s="6">
        <f>'Importe $ (Distribuidores)'!C76/'Importe $ (Distribuidores)'!C$131</f>
        <v>0</v>
      </c>
      <c r="C73" s="6">
        <f>'Importe $ (Distribuidores)'!D76/'Importe $ (Distribuidores)'!D$131</f>
        <v>0</v>
      </c>
      <c r="D73" s="6">
        <f>'Importe $ (Distribuidores)'!E76/'Importe $ (Distribuidores)'!E$131</f>
        <v>0</v>
      </c>
      <c r="E73" s="6">
        <f>'Importe $ (Distribuidores)'!F76/'Importe $ (Distribuidores)'!F$131</f>
        <v>0</v>
      </c>
      <c r="F73" s="6">
        <f>'Importe $ (Distribuidores)'!G76/'Importe $ (Distribuidores)'!G$131</f>
        <v>0</v>
      </c>
      <c r="G73" s="6">
        <f>'Importe $ (Distribuidores)'!H76/'Importe $ (Distribuidores)'!H$131</f>
        <v>0</v>
      </c>
      <c r="H73" s="6">
        <f>'Importe $ (Distribuidores)'!I76/'Importe $ (Distribuidores)'!I$131</f>
        <v>2.1859675436799054E-3</v>
      </c>
      <c r="I73" s="6">
        <f>'Importe $ (Distribuidores)'!J76/'Importe $ (Distribuidores)'!J$131</f>
        <v>0</v>
      </c>
      <c r="J73" s="6">
        <f>'Importe $ (Distribuidores)'!K76/'Importe $ (Distribuidores)'!K$131</f>
        <v>0</v>
      </c>
      <c r="K73" s="6">
        <f>'Importe $ (Distribuidores)'!L76/'Importe $ (Distribuidores)'!L$131</f>
        <v>0</v>
      </c>
      <c r="L73" s="6">
        <f>'Importe $ (Distribuidores)'!M76/'Importe $ (Distribuidores)'!M$131</f>
        <v>0</v>
      </c>
      <c r="M73" s="6">
        <f>'Importe $ (Distribuidores)'!N76/'Importe $ (Distribuidores)'!N$131</f>
        <v>0</v>
      </c>
      <c r="N73" s="6">
        <f>'Importe $ (Distribuidores)'!O76/'Importe $ (Distribuidores)'!O$131</f>
        <v>0</v>
      </c>
      <c r="O73" s="6">
        <f>'Importe $ (Distribuidores)'!P76/'Importe $ (Distribuidores)'!P$131</f>
        <v>2.3554858823736634E-4</v>
      </c>
      <c r="P73" s="6">
        <f>'Importe $ (Distribuidores)'!Q76/'Importe $ (Distribuidores)'!Q$131</f>
        <v>0</v>
      </c>
      <c r="Q73" s="6">
        <f>'Importe $ (Distribuidores)'!R76/'Importe $ (Distribuidores)'!R$131</f>
        <v>0</v>
      </c>
      <c r="R73" s="6">
        <f>'Importe $ (Distribuidores)'!S76/'Importe $ (Distribuidores)'!S$131</f>
        <v>0</v>
      </c>
      <c r="S73" s="6">
        <f>'Importe $ (Distribuidores)'!T76/'Importe $ (Distribuidores)'!T$131</f>
        <v>0</v>
      </c>
      <c r="T73" s="6">
        <f>'Importe $ (Distribuidores)'!U76/'Importe $ (Distribuidores)'!U$131</f>
        <v>0</v>
      </c>
      <c r="U73" s="6">
        <f>'Importe $ (Distribuidores)'!V76/'Importe $ (Distribuidores)'!V$131</f>
        <v>0</v>
      </c>
      <c r="V73" s="7">
        <f t="shared" si="1"/>
        <v>1.2107580659586359E-4</v>
      </c>
      <c r="W73" s="7">
        <v>1.3348077825604097E-5</v>
      </c>
    </row>
    <row r="74" spans="1:23" ht="15" customHeight="1" x14ac:dyDescent="0.25">
      <c r="A74" s="3" t="s">
        <v>99</v>
      </c>
      <c r="B74" s="6">
        <f>'Importe $ (Distribuidores)'!C77/'Importe $ (Distribuidores)'!C$131</f>
        <v>0</v>
      </c>
      <c r="C74" s="6">
        <f>'Importe $ (Distribuidores)'!D77/'Importe $ (Distribuidores)'!D$131</f>
        <v>0</v>
      </c>
      <c r="D74" s="6">
        <f>'Importe $ (Distribuidores)'!E77/'Importe $ (Distribuidores)'!E$131</f>
        <v>-2.9330397721886057E-5</v>
      </c>
      <c r="E74" s="6">
        <f>'Importe $ (Distribuidores)'!F77/'Importe $ (Distribuidores)'!F$131</f>
        <v>7.7189416403681882E-4</v>
      </c>
      <c r="F74" s="6">
        <f>'Importe $ (Distribuidores)'!G77/'Importe $ (Distribuidores)'!G$131</f>
        <v>0</v>
      </c>
      <c r="G74" s="6">
        <f>'Importe $ (Distribuidores)'!H77/'Importe $ (Distribuidores)'!H$131</f>
        <v>0</v>
      </c>
      <c r="H74" s="6">
        <f>'Importe $ (Distribuidores)'!I77/'Importe $ (Distribuidores)'!I$131</f>
        <v>-8.6406272687939583E-4</v>
      </c>
      <c r="I74" s="6">
        <f>'Importe $ (Distribuidores)'!J77/'Importe $ (Distribuidores)'!J$131</f>
        <v>0</v>
      </c>
      <c r="J74" s="6">
        <f>'Importe $ (Distribuidores)'!K77/'Importe $ (Distribuidores)'!K$131</f>
        <v>5.8930723128217642E-4</v>
      </c>
      <c r="K74" s="6">
        <f>'Importe $ (Distribuidores)'!L77/'Importe $ (Distribuidores)'!L$131</f>
        <v>0</v>
      </c>
      <c r="L74" s="6">
        <f>'Importe $ (Distribuidores)'!M77/'Importe $ (Distribuidores)'!M$131</f>
        <v>0</v>
      </c>
      <c r="M74" s="6">
        <f>'Importe $ (Distribuidores)'!N77/'Importe $ (Distribuidores)'!N$131</f>
        <v>0</v>
      </c>
      <c r="N74" s="6">
        <f>'Importe $ (Distribuidores)'!O77/'Importe $ (Distribuidores)'!O$131</f>
        <v>2.6179689451802214E-3</v>
      </c>
      <c r="O74" s="6">
        <f>'Importe $ (Distribuidores)'!P77/'Importe $ (Distribuidores)'!P$131</f>
        <v>0</v>
      </c>
      <c r="P74" s="6">
        <f>'Importe $ (Distribuidores)'!Q77/'Importe $ (Distribuidores)'!Q$131</f>
        <v>0</v>
      </c>
      <c r="Q74" s="6">
        <f>'Importe $ (Distribuidores)'!R77/'Importe $ (Distribuidores)'!R$131</f>
        <v>0</v>
      </c>
      <c r="R74" s="6">
        <f>'Importe $ (Distribuidores)'!S77/'Importe $ (Distribuidores)'!S$131</f>
        <v>0</v>
      </c>
      <c r="S74" s="6">
        <f>'Importe $ (Distribuidores)'!T77/'Importe $ (Distribuidores)'!T$131</f>
        <v>0</v>
      </c>
      <c r="T74" s="6">
        <f>'Importe $ (Distribuidores)'!U77/'Importe $ (Distribuidores)'!U$131</f>
        <v>0</v>
      </c>
      <c r="U74" s="6">
        <f>'Importe $ (Distribuidores)'!V77/'Importe $ (Distribuidores)'!V$131</f>
        <v>0</v>
      </c>
      <c r="V74" s="7">
        <f t="shared" si="1"/>
        <v>1.5428886079489672E-4</v>
      </c>
      <c r="W74" s="7">
        <v>8.6437319626980692E-4</v>
      </c>
    </row>
    <row r="75" spans="1:23" ht="15" customHeight="1" x14ac:dyDescent="0.25">
      <c r="A75" s="3" t="s">
        <v>100</v>
      </c>
      <c r="B75" s="6">
        <f>'Importe $ (Distribuidores)'!C78/'Importe $ (Distribuidores)'!C$131</f>
        <v>0</v>
      </c>
      <c r="C75" s="6">
        <f>'Importe $ (Distribuidores)'!D78/'Importe $ (Distribuidores)'!D$131</f>
        <v>0</v>
      </c>
      <c r="D75" s="6">
        <f>'Importe $ (Distribuidores)'!E78/'Importe $ (Distribuidores)'!E$131</f>
        <v>0</v>
      </c>
      <c r="E75" s="6">
        <f>'Importe $ (Distribuidores)'!F78/'Importe $ (Distribuidores)'!F$131</f>
        <v>0</v>
      </c>
      <c r="F75" s="6">
        <f>'Importe $ (Distribuidores)'!G78/'Importe $ (Distribuidores)'!G$131</f>
        <v>0</v>
      </c>
      <c r="G75" s="6">
        <f>'Importe $ (Distribuidores)'!H78/'Importe $ (Distribuidores)'!H$131</f>
        <v>0</v>
      </c>
      <c r="H75" s="6">
        <f>'Importe $ (Distribuidores)'!I78/'Importe $ (Distribuidores)'!I$131</f>
        <v>0</v>
      </c>
      <c r="I75" s="6">
        <f>'Importe $ (Distribuidores)'!J78/'Importe $ (Distribuidores)'!J$131</f>
        <v>0</v>
      </c>
      <c r="J75" s="6">
        <f>'Importe $ (Distribuidores)'!K78/'Importe $ (Distribuidores)'!K$131</f>
        <v>0</v>
      </c>
      <c r="K75" s="6">
        <f>'Importe $ (Distribuidores)'!L78/'Importe $ (Distribuidores)'!L$131</f>
        <v>0</v>
      </c>
      <c r="L75" s="6">
        <f>'Importe $ (Distribuidores)'!M78/'Importe $ (Distribuidores)'!M$131</f>
        <v>0</v>
      </c>
      <c r="M75" s="6">
        <f>'Importe $ (Distribuidores)'!N78/'Importe $ (Distribuidores)'!N$131</f>
        <v>0</v>
      </c>
      <c r="N75" s="6">
        <f>'Importe $ (Distribuidores)'!O78/'Importe $ (Distribuidores)'!O$131</f>
        <v>0</v>
      </c>
      <c r="O75" s="6">
        <f>'Importe $ (Distribuidores)'!P78/'Importe $ (Distribuidores)'!P$131</f>
        <v>0</v>
      </c>
      <c r="P75" s="6">
        <f>'Importe $ (Distribuidores)'!Q78/'Importe $ (Distribuidores)'!Q$131</f>
        <v>0</v>
      </c>
      <c r="Q75" s="6">
        <f>'Importe $ (Distribuidores)'!R78/'Importe $ (Distribuidores)'!R$131</f>
        <v>0</v>
      </c>
      <c r="R75" s="6">
        <f>'Importe $ (Distribuidores)'!S78/'Importe $ (Distribuidores)'!S$131</f>
        <v>0</v>
      </c>
      <c r="S75" s="6">
        <f>'Importe $ (Distribuidores)'!T78/'Importe $ (Distribuidores)'!T$131</f>
        <v>0</v>
      </c>
      <c r="T75" s="6">
        <f>'Importe $ (Distribuidores)'!U78/'Importe $ (Distribuidores)'!U$131</f>
        <v>0</v>
      </c>
      <c r="U75" s="6">
        <f>'Importe $ (Distribuidores)'!V78/'Importe $ (Distribuidores)'!V$131</f>
        <v>3.4286294012445331E-4</v>
      </c>
      <c r="V75" s="7">
        <f t="shared" si="1"/>
        <v>1.7143147006222667E-5</v>
      </c>
      <c r="W75" s="7">
        <v>2.3056930696734582E-5</v>
      </c>
    </row>
    <row r="76" spans="1:23" ht="15" customHeight="1" x14ac:dyDescent="0.25">
      <c r="A76" s="3" t="s">
        <v>101</v>
      </c>
      <c r="B76" s="6">
        <f>'Importe $ (Distribuidores)'!C79/'Importe $ (Distribuidores)'!C$131</f>
        <v>4.0300320878444644E-2</v>
      </c>
      <c r="C76" s="6">
        <f>'Importe $ (Distribuidores)'!D79/'Importe $ (Distribuidores)'!D$131</f>
        <v>8.4966736542198565E-2</v>
      </c>
      <c r="D76" s="6">
        <f>'Importe $ (Distribuidores)'!E79/'Importe $ (Distribuidores)'!E$131</f>
        <v>4.7583371529560728E-2</v>
      </c>
      <c r="E76" s="6">
        <f>'Importe $ (Distribuidores)'!F79/'Importe $ (Distribuidores)'!F$131</f>
        <v>5.0027475115053413E-2</v>
      </c>
      <c r="F76" s="6">
        <f>'Importe $ (Distribuidores)'!G79/'Importe $ (Distribuidores)'!G$131</f>
        <v>0</v>
      </c>
      <c r="G76" s="6">
        <f>'Importe $ (Distribuidores)'!H79/'Importe $ (Distribuidores)'!H$131</f>
        <v>0</v>
      </c>
      <c r="H76" s="6">
        <f>'Importe $ (Distribuidores)'!I79/'Importe $ (Distribuidores)'!I$131</f>
        <v>3.4079506237016249E-2</v>
      </c>
      <c r="I76" s="6">
        <f>'Importe $ (Distribuidores)'!J79/'Importe $ (Distribuidores)'!J$131</f>
        <v>0</v>
      </c>
      <c r="J76" s="6">
        <f>'Importe $ (Distribuidores)'!K79/'Importe $ (Distribuidores)'!K$131</f>
        <v>2.7970335330151672E-2</v>
      </c>
      <c r="K76" s="6">
        <f>'Importe $ (Distribuidores)'!L79/'Importe $ (Distribuidores)'!L$131</f>
        <v>4.5151888651162111E-2</v>
      </c>
      <c r="L76" s="6">
        <f>'Importe $ (Distribuidores)'!M79/'Importe $ (Distribuidores)'!M$131</f>
        <v>4.8292645236239287E-2</v>
      </c>
      <c r="M76" s="6">
        <f>'Importe $ (Distribuidores)'!N79/'Importe $ (Distribuidores)'!N$131</f>
        <v>0</v>
      </c>
      <c r="N76" s="6">
        <f>'Importe $ (Distribuidores)'!O79/'Importe $ (Distribuidores)'!O$131</f>
        <v>4.0138432080639351E-2</v>
      </c>
      <c r="O76" s="6">
        <f>'Importe $ (Distribuidores)'!P79/'Importe $ (Distribuidores)'!P$131</f>
        <v>3.3809014848607613E-2</v>
      </c>
      <c r="P76" s="6">
        <f>'Importe $ (Distribuidores)'!Q79/'Importe $ (Distribuidores)'!Q$131</f>
        <v>5.7995382928896583E-2</v>
      </c>
      <c r="Q76" s="6">
        <f>'Importe $ (Distribuidores)'!R79/'Importe $ (Distribuidores)'!R$131</f>
        <v>0.12567528016586529</v>
      </c>
      <c r="R76" s="6">
        <f>'Importe $ (Distribuidores)'!S79/'Importe $ (Distribuidores)'!S$131</f>
        <v>3.0039934501766917E-2</v>
      </c>
      <c r="S76" s="6">
        <f>'Importe $ (Distribuidores)'!T79/'Importe $ (Distribuidores)'!T$131</f>
        <v>4.6186578431403134E-2</v>
      </c>
      <c r="T76" s="6">
        <f>'Importe $ (Distribuidores)'!U79/'Importe $ (Distribuidores)'!U$131</f>
        <v>0.11252247530272511</v>
      </c>
      <c r="U76" s="6">
        <f>'Importe $ (Distribuidores)'!V79/'Importe $ (Distribuidores)'!V$131</f>
        <v>3.7727973560199773E-2</v>
      </c>
      <c r="V76" s="7">
        <f t="shared" si="1"/>
        <v>4.3123367566996515E-2</v>
      </c>
      <c r="W76" s="7">
        <v>2.3641262707555455E-2</v>
      </c>
    </row>
    <row r="77" spans="1:23" ht="15" customHeight="1" x14ac:dyDescent="0.25">
      <c r="A77" s="3" t="s">
        <v>102</v>
      </c>
      <c r="B77" s="6">
        <f>'Importe $ (Distribuidores)'!C80/'Importe $ (Distribuidores)'!C$131</f>
        <v>0</v>
      </c>
      <c r="C77" s="6">
        <f>'Importe $ (Distribuidores)'!D80/'Importe $ (Distribuidores)'!D$131</f>
        <v>0</v>
      </c>
      <c r="D77" s="6">
        <f>'Importe $ (Distribuidores)'!E80/'Importe $ (Distribuidores)'!E$131</f>
        <v>0</v>
      </c>
      <c r="E77" s="6">
        <f>'Importe $ (Distribuidores)'!F80/'Importe $ (Distribuidores)'!F$131</f>
        <v>0</v>
      </c>
      <c r="F77" s="6">
        <f>'Importe $ (Distribuidores)'!G80/'Importe $ (Distribuidores)'!G$131</f>
        <v>4.0510992930317249E-2</v>
      </c>
      <c r="G77" s="6">
        <f>'Importe $ (Distribuidores)'!H80/'Importe $ (Distribuidores)'!H$131</f>
        <v>0</v>
      </c>
      <c r="H77" s="6">
        <f>'Importe $ (Distribuidores)'!I80/'Importe $ (Distribuidores)'!I$131</f>
        <v>1.1088519762617941E-2</v>
      </c>
      <c r="I77" s="6">
        <f>'Importe $ (Distribuidores)'!J80/'Importe $ (Distribuidores)'!J$131</f>
        <v>0</v>
      </c>
      <c r="J77" s="6">
        <f>'Importe $ (Distribuidores)'!K80/'Importe $ (Distribuidores)'!K$131</f>
        <v>1.864349203082801E-3</v>
      </c>
      <c r="K77" s="6">
        <f>'Importe $ (Distribuidores)'!L80/'Importe $ (Distribuidores)'!L$131</f>
        <v>1.0225166643464408E-2</v>
      </c>
      <c r="L77" s="6">
        <f>'Importe $ (Distribuidores)'!M80/'Importe $ (Distribuidores)'!M$131</f>
        <v>0</v>
      </c>
      <c r="M77" s="6">
        <f>'Importe $ (Distribuidores)'!N80/'Importe $ (Distribuidores)'!N$131</f>
        <v>0</v>
      </c>
      <c r="N77" s="6">
        <f>'Importe $ (Distribuidores)'!O80/'Importe $ (Distribuidores)'!O$131</f>
        <v>3.7546537119569905E-3</v>
      </c>
      <c r="O77" s="6">
        <f>'Importe $ (Distribuidores)'!P80/'Importe $ (Distribuidores)'!P$131</f>
        <v>3.5172493967202726E-3</v>
      </c>
      <c r="P77" s="6">
        <f>'Importe $ (Distribuidores)'!Q80/'Importe $ (Distribuidores)'!Q$131</f>
        <v>0</v>
      </c>
      <c r="Q77" s="6">
        <f>'Importe $ (Distribuidores)'!R80/'Importe $ (Distribuidores)'!R$131</f>
        <v>0</v>
      </c>
      <c r="R77" s="6">
        <f>'Importe $ (Distribuidores)'!S80/'Importe $ (Distribuidores)'!S$131</f>
        <v>4.8435985744846085E-3</v>
      </c>
      <c r="S77" s="6">
        <f>'Importe $ (Distribuidores)'!T80/'Importe $ (Distribuidores)'!T$131</f>
        <v>0</v>
      </c>
      <c r="T77" s="6">
        <f>'Importe $ (Distribuidores)'!U80/'Importe $ (Distribuidores)'!U$131</f>
        <v>0</v>
      </c>
      <c r="U77" s="6">
        <f>'Importe $ (Distribuidores)'!V80/'Importe $ (Distribuidores)'!V$131</f>
        <v>0</v>
      </c>
      <c r="V77" s="7">
        <f t="shared" si="1"/>
        <v>3.7902265111322128E-3</v>
      </c>
      <c r="W77" s="7">
        <v>3.5995335249546204E-3</v>
      </c>
    </row>
    <row r="78" spans="1:23" ht="15" customHeight="1" x14ac:dyDescent="0.25">
      <c r="A78" s="3" t="s">
        <v>103</v>
      </c>
      <c r="B78" s="6">
        <f>'Importe $ (Distribuidores)'!C81/'Importe $ (Distribuidores)'!C$131</f>
        <v>1.6372779284558586E-2</v>
      </c>
      <c r="C78" s="6">
        <f>'Importe $ (Distribuidores)'!D81/'Importe $ (Distribuidores)'!D$131</f>
        <v>0</v>
      </c>
      <c r="D78" s="6">
        <f>'Importe $ (Distribuidores)'!E81/'Importe $ (Distribuidores)'!E$131</f>
        <v>8.3586977888689268E-3</v>
      </c>
      <c r="E78" s="6">
        <f>'Importe $ (Distribuidores)'!F81/'Importe $ (Distribuidores)'!F$131</f>
        <v>1.6933324741392867E-2</v>
      </c>
      <c r="F78" s="6">
        <f>'Importe $ (Distribuidores)'!G81/'Importe $ (Distribuidores)'!G$131</f>
        <v>1.7023898677618649E-3</v>
      </c>
      <c r="G78" s="6">
        <f>'Importe $ (Distribuidores)'!H81/'Importe $ (Distribuidores)'!H$131</f>
        <v>2.5857803515703839E-2</v>
      </c>
      <c r="H78" s="6">
        <f>'Importe $ (Distribuidores)'!I81/'Importe $ (Distribuidores)'!I$131</f>
        <v>1.8290662737215056E-2</v>
      </c>
      <c r="I78" s="6">
        <f>'Importe $ (Distribuidores)'!J81/'Importe $ (Distribuidores)'!J$131</f>
        <v>0</v>
      </c>
      <c r="J78" s="6">
        <f>'Importe $ (Distribuidores)'!K81/'Importe $ (Distribuidores)'!K$131</f>
        <v>1.8649057778094648E-2</v>
      </c>
      <c r="K78" s="6">
        <f>'Importe $ (Distribuidores)'!L81/'Importe $ (Distribuidores)'!L$131</f>
        <v>1.175604663244062E-2</v>
      </c>
      <c r="L78" s="6">
        <f>'Importe $ (Distribuidores)'!M81/'Importe $ (Distribuidores)'!M$131</f>
        <v>7.6977671261212882E-2</v>
      </c>
      <c r="M78" s="6">
        <f>'Importe $ (Distribuidores)'!N81/'Importe $ (Distribuidores)'!N$131</f>
        <v>0</v>
      </c>
      <c r="N78" s="6">
        <f>'Importe $ (Distribuidores)'!O81/'Importe $ (Distribuidores)'!O$131</f>
        <v>0</v>
      </c>
      <c r="O78" s="6">
        <f>'Importe $ (Distribuidores)'!P81/'Importe $ (Distribuidores)'!P$131</f>
        <v>1.2201969245944378E-2</v>
      </c>
      <c r="P78" s="6">
        <f>'Importe $ (Distribuidores)'!Q81/'Importe $ (Distribuidores)'!Q$131</f>
        <v>1.1132793919488329E-2</v>
      </c>
      <c r="Q78" s="6">
        <f>'Importe $ (Distribuidores)'!R81/'Importe $ (Distribuidores)'!R$131</f>
        <v>0</v>
      </c>
      <c r="R78" s="6">
        <f>'Importe $ (Distribuidores)'!S81/'Importe $ (Distribuidores)'!S$131</f>
        <v>1.5490088325193236E-2</v>
      </c>
      <c r="S78" s="6">
        <f>'Importe $ (Distribuidores)'!T81/'Importe $ (Distribuidores)'!T$131</f>
        <v>2.699947483310074E-2</v>
      </c>
      <c r="T78" s="6">
        <f>'Importe $ (Distribuidores)'!U81/'Importe $ (Distribuidores)'!U$131</f>
        <v>2.1268246791097931E-2</v>
      </c>
      <c r="U78" s="6">
        <f>'Importe $ (Distribuidores)'!V81/'Importe $ (Distribuidores)'!V$131</f>
        <v>2.0274233067040855E-2</v>
      </c>
      <c r="V78" s="7">
        <f t="shared" si="1"/>
        <v>1.5113261989455739E-2</v>
      </c>
      <c r="W78" s="7">
        <v>1.8835370402072234E-2</v>
      </c>
    </row>
    <row r="79" spans="1:23" ht="15" customHeight="1" x14ac:dyDescent="0.25">
      <c r="A79" s="3" t="s">
        <v>104</v>
      </c>
      <c r="B79" s="6">
        <f>'Importe $ (Distribuidores)'!C82/'Importe $ (Distribuidores)'!C$131</f>
        <v>0</v>
      </c>
      <c r="C79" s="6">
        <f>'Importe $ (Distribuidores)'!D82/'Importe $ (Distribuidores)'!D$131</f>
        <v>0</v>
      </c>
      <c r="D79" s="6">
        <f>'Importe $ (Distribuidores)'!E82/'Importe $ (Distribuidores)'!E$131</f>
        <v>0</v>
      </c>
      <c r="E79" s="6">
        <f>'Importe $ (Distribuidores)'!F82/'Importe $ (Distribuidores)'!F$131</f>
        <v>3.9957913253443216E-5</v>
      </c>
      <c r="F79" s="6">
        <f>'Importe $ (Distribuidores)'!G82/'Importe $ (Distribuidores)'!G$131</f>
        <v>0</v>
      </c>
      <c r="G79" s="6">
        <f>'Importe $ (Distribuidores)'!H82/'Importe $ (Distribuidores)'!H$131</f>
        <v>0</v>
      </c>
      <c r="H79" s="6">
        <f>'Importe $ (Distribuidores)'!I82/'Importe $ (Distribuidores)'!I$131</f>
        <v>3.3505910646026609E-3</v>
      </c>
      <c r="I79" s="6">
        <f>'Importe $ (Distribuidores)'!J82/'Importe $ (Distribuidores)'!J$131</f>
        <v>0</v>
      </c>
      <c r="J79" s="6">
        <f>'Importe $ (Distribuidores)'!K82/'Importe $ (Distribuidores)'!K$131</f>
        <v>-2.5574256427739512E-5</v>
      </c>
      <c r="K79" s="6">
        <f>'Importe $ (Distribuidores)'!L82/'Importe $ (Distribuidores)'!L$131</f>
        <v>0</v>
      </c>
      <c r="L79" s="6">
        <f>'Importe $ (Distribuidores)'!M82/'Importe $ (Distribuidores)'!M$131</f>
        <v>1.6125931733906066E-3</v>
      </c>
      <c r="M79" s="6">
        <f>'Importe $ (Distribuidores)'!N82/'Importe $ (Distribuidores)'!N$131</f>
        <v>0</v>
      </c>
      <c r="N79" s="6">
        <f>'Importe $ (Distribuidores)'!O82/'Importe $ (Distribuidores)'!O$131</f>
        <v>0</v>
      </c>
      <c r="O79" s="6">
        <f>'Importe $ (Distribuidores)'!P82/'Importe $ (Distribuidores)'!P$131</f>
        <v>8.9346696493051287E-4</v>
      </c>
      <c r="P79" s="6">
        <f>'Importe $ (Distribuidores)'!Q82/'Importe $ (Distribuidores)'!Q$131</f>
        <v>2.6816546530515124E-4</v>
      </c>
      <c r="Q79" s="6">
        <f>'Importe $ (Distribuidores)'!R82/'Importe $ (Distribuidores)'!R$131</f>
        <v>0</v>
      </c>
      <c r="R79" s="6">
        <f>'Importe $ (Distribuidores)'!S82/'Importe $ (Distribuidores)'!S$131</f>
        <v>0</v>
      </c>
      <c r="S79" s="6">
        <f>'Importe $ (Distribuidores)'!T82/'Importe $ (Distribuidores)'!T$131</f>
        <v>0</v>
      </c>
      <c r="T79" s="6">
        <f>'Importe $ (Distribuidores)'!U82/'Importe $ (Distribuidores)'!U$131</f>
        <v>0</v>
      </c>
      <c r="U79" s="6">
        <f>'Importe $ (Distribuidores)'!V82/'Importe $ (Distribuidores)'!V$131</f>
        <v>3.7940335035224971E-4</v>
      </c>
      <c r="V79" s="7">
        <f t="shared" si="1"/>
        <v>3.259301837703442E-4</v>
      </c>
      <c r="W79" s="7">
        <v>1.4651037012815159E-3</v>
      </c>
    </row>
    <row r="80" spans="1:23" ht="15" customHeight="1" x14ac:dyDescent="0.25">
      <c r="A80" s="3" t="s">
        <v>105</v>
      </c>
      <c r="B80" s="6">
        <f>'Importe $ (Distribuidores)'!C83/'Importe $ (Distribuidores)'!C$131</f>
        <v>1.4536025011742761E-3</v>
      </c>
      <c r="C80" s="6">
        <f>'Importe $ (Distribuidores)'!D83/'Importe $ (Distribuidores)'!D$131</f>
        <v>0</v>
      </c>
      <c r="D80" s="6">
        <f>'Importe $ (Distribuidores)'!E83/'Importe $ (Distribuidores)'!E$131</f>
        <v>2.7598507570688979E-3</v>
      </c>
      <c r="E80" s="6">
        <f>'Importe $ (Distribuidores)'!F83/'Importe $ (Distribuidores)'!F$131</f>
        <v>2.9014743308840006E-3</v>
      </c>
      <c r="F80" s="6">
        <f>'Importe $ (Distribuidores)'!G83/'Importe $ (Distribuidores)'!G$131</f>
        <v>0</v>
      </c>
      <c r="G80" s="6">
        <f>'Importe $ (Distribuidores)'!H83/'Importe $ (Distribuidores)'!H$131</f>
        <v>4.0689362801750286E-3</v>
      </c>
      <c r="H80" s="6">
        <f>'Importe $ (Distribuidores)'!I83/'Importe $ (Distribuidores)'!I$131</f>
        <v>4.9438590842041837E-3</v>
      </c>
      <c r="I80" s="6">
        <f>'Importe $ (Distribuidores)'!J83/'Importe $ (Distribuidores)'!J$131</f>
        <v>0</v>
      </c>
      <c r="J80" s="6">
        <f>'Importe $ (Distribuidores)'!K83/'Importe $ (Distribuidores)'!K$131</f>
        <v>2.4762643661768269E-3</v>
      </c>
      <c r="K80" s="6">
        <f>'Importe $ (Distribuidores)'!L83/'Importe $ (Distribuidores)'!L$131</f>
        <v>1.3687595665430273E-3</v>
      </c>
      <c r="L80" s="6">
        <f>'Importe $ (Distribuidores)'!M83/'Importe $ (Distribuidores)'!M$131</f>
        <v>3.0855824527614789E-2</v>
      </c>
      <c r="M80" s="6">
        <f>'Importe $ (Distribuidores)'!N83/'Importe $ (Distribuidores)'!N$131</f>
        <v>0</v>
      </c>
      <c r="N80" s="6">
        <f>'Importe $ (Distribuidores)'!O83/'Importe $ (Distribuidores)'!O$131</f>
        <v>7.2936685282948288E-4</v>
      </c>
      <c r="O80" s="6">
        <f>'Importe $ (Distribuidores)'!P83/'Importe $ (Distribuidores)'!P$131</f>
        <v>1.1744878727564158E-3</v>
      </c>
      <c r="P80" s="6">
        <f>'Importe $ (Distribuidores)'!Q83/'Importe $ (Distribuidores)'!Q$131</f>
        <v>6.9610817855780688E-3</v>
      </c>
      <c r="Q80" s="6">
        <f>'Importe $ (Distribuidores)'!R83/'Importe $ (Distribuidores)'!R$131</f>
        <v>0</v>
      </c>
      <c r="R80" s="6">
        <f>'Importe $ (Distribuidores)'!S83/'Importe $ (Distribuidores)'!S$131</f>
        <v>3.6031693372771874E-4</v>
      </c>
      <c r="S80" s="6">
        <f>'Importe $ (Distribuidores)'!T83/'Importe $ (Distribuidores)'!T$131</f>
        <v>6.3908068260756302E-4</v>
      </c>
      <c r="T80" s="6">
        <f>'Importe $ (Distribuidores)'!U83/'Importe $ (Distribuidores)'!U$131</f>
        <v>1.0308877600206379E-2</v>
      </c>
      <c r="U80" s="6">
        <f>'Importe $ (Distribuidores)'!V83/'Importe $ (Distribuidores)'!V$131</f>
        <v>6.6705230697015607E-3</v>
      </c>
      <c r="V80" s="7">
        <f t="shared" si="1"/>
        <v>3.8836153105624113E-3</v>
      </c>
      <c r="W80" s="7">
        <v>2.8267103674899457E-3</v>
      </c>
    </row>
    <row r="81" spans="1:23" ht="15" customHeight="1" x14ac:dyDescent="0.25">
      <c r="A81" s="3" t="s">
        <v>106</v>
      </c>
      <c r="B81" s="6">
        <f>'Importe $ (Distribuidores)'!C84/'Importe $ (Distribuidores)'!C$131</f>
        <v>0</v>
      </c>
      <c r="C81" s="6">
        <f>'Importe $ (Distribuidores)'!D84/'Importe $ (Distribuidores)'!D$131</f>
        <v>0</v>
      </c>
      <c r="D81" s="6">
        <f>'Importe $ (Distribuidores)'!E84/'Importe $ (Distribuidores)'!E$131</f>
        <v>0</v>
      </c>
      <c r="E81" s="6">
        <f>'Importe $ (Distribuidores)'!F84/'Importe $ (Distribuidores)'!F$131</f>
        <v>0</v>
      </c>
      <c r="F81" s="6">
        <f>'Importe $ (Distribuidores)'!G84/'Importe $ (Distribuidores)'!G$131</f>
        <v>0</v>
      </c>
      <c r="G81" s="6">
        <f>'Importe $ (Distribuidores)'!H84/'Importe $ (Distribuidores)'!H$131</f>
        <v>0</v>
      </c>
      <c r="H81" s="6">
        <f>'Importe $ (Distribuidores)'!I84/'Importe $ (Distribuidores)'!I$131</f>
        <v>1.0268364035201655E-4</v>
      </c>
      <c r="I81" s="6">
        <f>'Importe $ (Distribuidores)'!J84/'Importe $ (Distribuidores)'!J$131</f>
        <v>0</v>
      </c>
      <c r="J81" s="6">
        <f>'Importe $ (Distribuidores)'!K84/'Importe $ (Distribuidores)'!K$131</f>
        <v>1.3632558178423124E-4</v>
      </c>
      <c r="K81" s="6">
        <f>'Importe $ (Distribuidores)'!L84/'Importe $ (Distribuidores)'!L$131</f>
        <v>0</v>
      </c>
      <c r="L81" s="6">
        <f>'Importe $ (Distribuidores)'!M84/'Importe $ (Distribuidores)'!M$131</f>
        <v>0</v>
      </c>
      <c r="M81" s="6">
        <f>'Importe $ (Distribuidores)'!N84/'Importe $ (Distribuidores)'!N$131</f>
        <v>0</v>
      </c>
      <c r="N81" s="6">
        <f>'Importe $ (Distribuidores)'!O84/'Importe $ (Distribuidores)'!O$131</f>
        <v>0</v>
      </c>
      <c r="O81" s="6">
        <f>'Importe $ (Distribuidores)'!P84/'Importe $ (Distribuidores)'!P$131</f>
        <v>0</v>
      </c>
      <c r="P81" s="6">
        <f>'Importe $ (Distribuidores)'!Q84/'Importe $ (Distribuidores)'!Q$131</f>
        <v>0</v>
      </c>
      <c r="Q81" s="6">
        <f>'Importe $ (Distribuidores)'!R84/'Importe $ (Distribuidores)'!R$131</f>
        <v>0</v>
      </c>
      <c r="R81" s="6">
        <f>'Importe $ (Distribuidores)'!S84/'Importe $ (Distribuidores)'!S$131</f>
        <v>0</v>
      </c>
      <c r="S81" s="6">
        <f>'Importe $ (Distribuidores)'!T84/'Importe $ (Distribuidores)'!T$131</f>
        <v>0</v>
      </c>
      <c r="T81" s="6">
        <f>'Importe $ (Distribuidores)'!U84/'Importe $ (Distribuidores)'!U$131</f>
        <v>0</v>
      </c>
      <c r="U81" s="6">
        <f>'Importe $ (Distribuidores)'!V84/'Importe $ (Distribuidores)'!V$131</f>
        <v>0</v>
      </c>
      <c r="V81" s="7">
        <f t="shared" si="1"/>
        <v>1.195046110681239E-5</v>
      </c>
      <c r="W81" s="7">
        <v>5.7888356284235959E-5</v>
      </c>
    </row>
    <row r="82" spans="1:23" ht="15" customHeight="1" x14ac:dyDescent="0.25">
      <c r="A82" s="3" t="s">
        <v>107</v>
      </c>
      <c r="B82" s="6">
        <f>'Importe $ (Distribuidores)'!C85/'Importe $ (Distribuidores)'!C$131</f>
        <v>2.8174414182408104E-2</v>
      </c>
      <c r="C82" s="6">
        <f>'Importe $ (Distribuidores)'!D85/'Importe $ (Distribuidores)'!D$131</f>
        <v>0</v>
      </c>
      <c r="D82" s="6">
        <f>'Importe $ (Distribuidores)'!E85/'Importe $ (Distribuidores)'!E$131</f>
        <v>1.4383443236568693E-2</v>
      </c>
      <c r="E82" s="6">
        <f>'Importe $ (Distribuidores)'!F85/'Importe $ (Distribuidores)'!F$131</f>
        <v>1.9488050855113112E-2</v>
      </c>
      <c r="F82" s="6">
        <f>'Importe $ (Distribuidores)'!G85/'Importe $ (Distribuidores)'!G$131</f>
        <v>0</v>
      </c>
      <c r="G82" s="6">
        <f>'Importe $ (Distribuidores)'!H85/'Importe $ (Distribuidores)'!H$131</f>
        <v>0</v>
      </c>
      <c r="H82" s="6">
        <f>'Importe $ (Distribuidores)'!I85/'Importe $ (Distribuidores)'!I$131</f>
        <v>2.3409419465985584E-2</v>
      </c>
      <c r="I82" s="6">
        <f>'Importe $ (Distribuidores)'!J85/'Importe $ (Distribuidores)'!J$131</f>
        <v>0</v>
      </c>
      <c r="J82" s="6">
        <f>'Importe $ (Distribuidores)'!K85/'Importe $ (Distribuidores)'!K$131</f>
        <v>1.7258960931328997E-2</v>
      </c>
      <c r="K82" s="6">
        <f>'Importe $ (Distribuidores)'!L85/'Importe $ (Distribuidores)'!L$131</f>
        <v>1.5627985124052599E-2</v>
      </c>
      <c r="L82" s="6">
        <f>'Importe $ (Distribuidores)'!M85/'Importe $ (Distribuidores)'!M$131</f>
        <v>3.2867777455725437E-2</v>
      </c>
      <c r="M82" s="6">
        <f>'Importe $ (Distribuidores)'!N85/'Importe $ (Distribuidores)'!N$131</f>
        <v>0</v>
      </c>
      <c r="N82" s="6">
        <f>'Importe $ (Distribuidores)'!O85/'Importe $ (Distribuidores)'!O$131</f>
        <v>3.1461780765072757E-2</v>
      </c>
      <c r="O82" s="6">
        <f>'Importe $ (Distribuidores)'!P85/'Importe $ (Distribuidores)'!P$131</f>
        <v>1.9727304432484705E-2</v>
      </c>
      <c r="P82" s="6">
        <f>'Importe $ (Distribuidores)'!Q85/'Importe $ (Distribuidores)'!Q$131</f>
        <v>2.8675249559600931E-2</v>
      </c>
      <c r="Q82" s="6">
        <f>'Importe $ (Distribuidores)'!R85/'Importe $ (Distribuidores)'!R$131</f>
        <v>2.2757332570734062E-2</v>
      </c>
      <c r="R82" s="6">
        <f>'Importe $ (Distribuidores)'!S85/'Importe $ (Distribuidores)'!S$131</f>
        <v>1.4236610368397897E-2</v>
      </c>
      <c r="S82" s="6">
        <f>'Importe $ (Distribuidores)'!T85/'Importe $ (Distribuidores)'!T$131</f>
        <v>2.4058860869438235E-2</v>
      </c>
      <c r="T82" s="6">
        <f>'Importe $ (Distribuidores)'!U85/'Importe $ (Distribuidores)'!U$131</f>
        <v>1.8785775966190604E-2</v>
      </c>
      <c r="U82" s="6">
        <f>'Importe $ (Distribuidores)'!V85/'Importe $ (Distribuidores)'!V$131</f>
        <v>1.3081650210716956E-2</v>
      </c>
      <c r="V82" s="7">
        <f t="shared" si="1"/>
        <v>1.6199730799690937E-2</v>
      </c>
      <c r="W82" s="7">
        <v>2.5913158266277887E-2</v>
      </c>
    </row>
    <row r="83" spans="1:23" ht="15" customHeight="1" x14ac:dyDescent="0.25">
      <c r="A83" s="3" t="s">
        <v>108</v>
      </c>
      <c r="B83" s="6">
        <f>'Importe $ (Distribuidores)'!C86/'Importe $ (Distribuidores)'!C$131</f>
        <v>1.332434846894472E-4</v>
      </c>
      <c r="C83" s="6">
        <f>'Importe $ (Distribuidores)'!D86/'Importe $ (Distribuidores)'!D$131</f>
        <v>0</v>
      </c>
      <c r="D83" s="6">
        <f>'Importe $ (Distribuidores)'!E86/'Importe $ (Distribuidores)'!E$131</f>
        <v>0</v>
      </c>
      <c r="E83" s="6">
        <f>'Importe $ (Distribuidores)'!F86/'Importe $ (Distribuidores)'!F$131</f>
        <v>7.9129913958918136E-3</v>
      </c>
      <c r="F83" s="6">
        <f>'Importe $ (Distribuidores)'!G86/'Importe $ (Distribuidores)'!G$131</f>
        <v>0</v>
      </c>
      <c r="G83" s="6">
        <f>'Importe $ (Distribuidores)'!H86/'Importe $ (Distribuidores)'!H$131</f>
        <v>0</v>
      </c>
      <c r="H83" s="6">
        <f>'Importe $ (Distribuidores)'!I86/'Importe $ (Distribuidores)'!I$131</f>
        <v>3.9530017546678268E-3</v>
      </c>
      <c r="I83" s="6">
        <f>'Importe $ (Distribuidores)'!J86/'Importe $ (Distribuidores)'!J$131</f>
        <v>0</v>
      </c>
      <c r="J83" s="6">
        <f>'Importe $ (Distribuidores)'!K86/'Importe $ (Distribuidores)'!K$131</f>
        <v>4.6810400349864539E-3</v>
      </c>
      <c r="K83" s="6">
        <f>'Importe $ (Distribuidores)'!L86/'Importe $ (Distribuidores)'!L$131</f>
        <v>3.856150047875026E-4</v>
      </c>
      <c r="L83" s="6">
        <f>'Importe $ (Distribuidores)'!M86/'Importe $ (Distribuidores)'!M$131</f>
        <v>7.0012193838210179E-3</v>
      </c>
      <c r="M83" s="6">
        <f>'Importe $ (Distribuidores)'!N86/'Importe $ (Distribuidores)'!N$131</f>
        <v>0</v>
      </c>
      <c r="N83" s="6">
        <f>'Importe $ (Distribuidores)'!O86/'Importe $ (Distribuidores)'!O$131</f>
        <v>0</v>
      </c>
      <c r="O83" s="6">
        <f>'Importe $ (Distribuidores)'!P86/'Importe $ (Distribuidores)'!P$131</f>
        <v>2.0098567981258687E-3</v>
      </c>
      <c r="P83" s="6">
        <f>'Importe $ (Distribuidores)'!Q86/'Importe $ (Distribuidores)'!Q$131</f>
        <v>2.0459117549682545E-2</v>
      </c>
      <c r="Q83" s="6">
        <f>'Importe $ (Distribuidores)'!R86/'Importe $ (Distribuidores)'!R$131</f>
        <v>0</v>
      </c>
      <c r="R83" s="6">
        <f>'Importe $ (Distribuidores)'!S86/'Importe $ (Distribuidores)'!S$131</f>
        <v>1.6622273437015027E-3</v>
      </c>
      <c r="S83" s="6">
        <f>'Importe $ (Distribuidores)'!T86/'Importe $ (Distribuidores)'!T$131</f>
        <v>5.0722292912094308E-3</v>
      </c>
      <c r="T83" s="6">
        <f>'Importe $ (Distribuidores)'!U86/'Importe $ (Distribuidores)'!U$131</f>
        <v>0</v>
      </c>
      <c r="U83" s="6">
        <f>'Importe $ (Distribuidores)'!V86/'Importe $ (Distribuidores)'!V$131</f>
        <v>4.9899014746140153E-3</v>
      </c>
      <c r="V83" s="7">
        <f t="shared" si="1"/>
        <v>2.9130221758088713E-3</v>
      </c>
      <c r="W83" s="7">
        <v>2.2547466908316785E-3</v>
      </c>
    </row>
    <row r="84" spans="1:23" ht="15" customHeight="1" x14ac:dyDescent="0.25">
      <c r="A84" s="3" t="s">
        <v>109</v>
      </c>
      <c r="B84" s="6">
        <f>'Importe $ (Distribuidores)'!C87/'Importe $ (Distribuidores)'!C$131</f>
        <v>3.890419220626383E-2</v>
      </c>
      <c r="C84" s="6">
        <f>'Importe $ (Distribuidores)'!D87/'Importe $ (Distribuidores)'!D$131</f>
        <v>0</v>
      </c>
      <c r="D84" s="6">
        <f>'Importe $ (Distribuidores)'!E87/'Importe $ (Distribuidores)'!E$131</f>
        <v>2.0143465368775298E-2</v>
      </c>
      <c r="E84" s="6">
        <f>'Importe $ (Distribuidores)'!F87/'Importe $ (Distribuidores)'!F$131</f>
        <v>3.7124208541166402E-2</v>
      </c>
      <c r="F84" s="6">
        <f>'Importe $ (Distribuidores)'!G87/'Importe $ (Distribuidores)'!G$131</f>
        <v>5.5917394851930778E-2</v>
      </c>
      <c r="G84" s="6">
        <f>'Importe $ (Distribuidores)'!H87/'Importe $ (Distribuidores)'!H$131</f>
        <v>0</v>
      </c>
      <c r="H84" s="6">
        <f>'Importe $ (Distribuidores)'!I87/'Importe $ (Distribuidores)'!I$131</f>
        <v>1.4759281581151773E-2</v>
      </c>
      <c r="I84" s="6">
        <f>'Importe $ (Distribuidores)'!J87/'Importe $ (Distribuidores)'!J$131</f>
        <v>0.20898184757408814</v>
      </c>
      <c r="J84" s="6">
        <f>'Importe $ (Distribuidores)'!K87/'Importe $ (Distribuidores)'!K$131</f>
        <v>3.355773027022145E-2</v>
      </c>
      <c r="K84" s="6">
        <f>'Importe $ (Distribuidores)'!L87/'Importe $ (Distribuidores)'!L$131</f>
        <v>3.7140961634430113E-2</v>
      </c>
      <c r="L84" s="6">
        <f>'Importe $ (Distribuidores)'!M87/'Importe $ (Distribuidores)'!M$131</f>
        <v>-1.857981257328049E-2</v>
      </c>
      <c r="M84" s="6">
        <f>'Importe $ (Distribuidores)'!N87/'Importe $ (Distribuidores)'!N$131</f>
        <v>0</v>
      </c>
      <c r="N84" s="6">
        <f>'Importe $ (Distribuidores)'!O87/'Importe $ (Distribuidores)'!O$131</f>
        <v>5.1865355154112796E-3</v>
      </c>
      <c r="O84" s="6">
        <f>'Importe $ (Distribuidores)'!P87/'Importe $ (Distribuidores)'!P$131</f>
        <v>5.1206961055431273E-2</v>
      </c>
      <c r="P84" s="6">
        <f>'Importe $ (Distribuidores)'!Q87/'Importe $ (Distribuidores)'!Q$131</f>
        <v>4.4331454118018941E-3</v>
      </c>
      <c r="Q84" s="6">
        <f>'Importe $ (Distribuidores)'!R87/'Importe $ (Distribuidores)'!R$131</f>
        <v>0.14650647241237555</v>
      </c>
      <c r="R84" s="6">
        <f>'Importe $ (Distribuidores)'!S87/'Importe $ (Distribuidores)'!S$131</f>
        <v>0.1073072549022682</v>
      </c>
      <c r="S84" s="6">
        <f>'Importe $ (Distribuidores)'!T87/'Importe $ (Distribuidores)'!T$131</f>
        <v>3.2773924136886713E-2</v>
      </c>
      <c r="T84" s="6">
        <f>'Importe $ (Distribuidores)'!U87/'Importe $ (Distribuidores)'!U$131</f>
        <v>2.7914573913316035E-2</v>
      </c>
      <c r="U84" s="6">
        <f>'Importe $ (Distribuidores)'!V87/'Importe $ (Distribuidores)'!V$131</f>
        <v>4.5192301450791561E-2</v>
      </c>
      <c r="V84" s="7">
        <f t="shared" si="1"/>
        <v>4.2423521912651495E-2</v>
      </c>
      <c r="W84" s="7">
        <v>2.3777923897931395E-2</v>
      </c>
    </row>
    <row r="85" spans="1:23" ht="15" customHeight="1" x14ac:dyDescent="0.25">
      <c r="A85" s="3" t="s">
        <v>110</v>
      </c>
      <c r="B85" s="6">
        <f>'Importe $ (Distribuidores)'!C88/'Importe $ (Distribuidores)'!C$131</f>
        <v>0.30684909947691097</v>
      </c>
      <c r="C85" s="6">
        <f>'Importe $ (Distribuidores)'!D88/'Importe $ (Distribuidores)'!D$131</f>
        <v>0</v>
      </c>
      <c r="D85" s="6">
        <f>'Importe $ (Distribuidores)'!E88/'Importe $ (Distribuidores)'!E$131</f>
        <v>0.44809077068216874</v>
      </c>
      <c r="E85" s="6">
        <f>'Importe $ (Distribuidores)'!F88/'Importe $ (Distribuidores)'!F$131</f>
        <v>0.31180543917769099</v>
      </c>
      <c r="F85" s="6">
        <f>'Importe $ (Distribuidores)'!G88/'Importe $ (Distribuidores)'!G$131</f>
        <v>0.77268578412829758</v>
      </c>
      <c r="G85" s="6">
        <f>'Importe $ (Distribuidores)'!H88/'Importe $ (Distribuidores)'!H$131</f>
        <v>0</v>
      </c>
      <c r="H85" s="6">
        <f>'Importe $ (Distribuidores)'!I88/'Importe $ (Distribuidores)'!I$131</f>
        <v>0.40901176913562765</v>
      </c>
      <c r="I85" s="6">
        <f>'Importe $ (Distribuidores)'!J88/'Importe $ (Distribuidores)'!J$131</f>
        <v>0.38854273527433514</v>
      </c>
      <c r="J85" s="6">
        <f>'Importe $ (Distribuidores)'!K88/'Importe $ (Distribuidores)'!K$131</f>
        <v>0.32360719333975529</v>
      </c>
      <c r="K85" s="6">
        <f>'Importe $ (Distribuidores)'!L88/'Importe $ (Distribuidores)'!L$131</f>
        <v>0.49150280069671975</v>
      </c>
      <c r="L85" s="6">
        <f>'Importe $ (Distribuidores)'!M88/'Importe $ (Distribuidores)'!M$131</f>
        <v>0.44290134042660606</v>
      </c>
      <c r="M85" s="6">
        <f>'Importe $ (Distribuidores)'!N88/'Importe $ (Distribuidores)'!N$131</f>
        <v>0</v>
      </c>
      <c r="N85" s="6">
        <f>'Importe $ (Distribuidores)'!O88/'Importe $ (Distribuidores)'!O$131</f>
        <v>0.43783997880694853</v>
      </c>
      <c r="O85" s="6">
        <f>'Importe $ (Distribuidores)'!P88/'Importe $ (Distribuidores)'!P$131</f>
        <v>0.28053166117696776</v>
      </c>
      <c r="P85" s="6">
        <f>'Importe $ (Distribuidores)'!Q88/'Importe $ (Distribuidores)'!Q$131</f>
        <v>0.39396143626730346</v>
      </c>
      <c r="Q85" s="6">
        <f>'Importe $ (Distribuidores)'!R88/'Importe $ (Distribuidores)'!R$131</f>
        <v>0.25185436737028355</v>
      </c>
      <c r="R85" s="6">
        <f>'Importe $ (Distribuidores)'!S88/'Importe $ (Distribuidores)'!S$131</f>
        <v>0.32810463662986433</v>
      </c>
      <c r="S85" s="6">
        <f>'Importe $ (Distribuidores)'!T88/'Importe $ (Distribuidores)'!T$131</f>
        <v>0.35248586330057841</v>
      </c>
      <c r="T85" s="6">
        <f>'Importe $ (Distribuidores)'!U88/'Importe $ (Distribuidores)'!U$131</f>
        <v>0.13469889634362017</v>
      </c>
      <c r="U85" s="6">
        <f>'Importe $ (Distribuidores)'!V88/'Importe $ (Distribuidores)'!V$131</f>
        <v>0.21253003916080876</v>
      </c>
      <c r="V85" s="7">
        <f t="shared" si="1"/>
        <v>0.31435019056972435</v>
      </c>
      <c r="W85" s="7">
        <v>0.37477941147617072</v>
      </c>
    </row>
    <row r="86" spans="1:23" ht="15" customHeight="1" x14ac:dyDescent="0.25">
      <c r="A86" s="3" t="s">
        <v>111</v>
      </c>
      <c r="B86" s="6">
        <f>'Importe $ (Distribuidores)'!C89/'Importe $ (Distribuidores)'!C$131</f>
        <v>1.1963873134488875E-2</v>
      </c>
      <c r="C86" s="6">
        <f>'Importe $ (Distribuidores)'!D89/'Importe $ (Distribuidores)'!D$131</f>
        <v>0</v>
      </c>
      <c r="D86" s="6">
        <f>'Importe $ (Distribuidores)'!E89/'Importe $ (Distribuidores)'!E$131</f>
        <v>7.8214393925029495E-4</v>
      </c>
      <c r="E86" s="6">
        <f>'Importe $ (Distribuidores)'!F89/'Importe $ (Distribuidores)'!F$131</f>
        <v>7.6120813876034404E-3</v>
      </c>
      <c r="F86" s="6">
        <f>'Importe $ (Distribuidores)'!G89/'Importe $ (Distribuidores)'!G$131</f>
        <v>0</v>
      </c>
      <c r="G86" s="6">
        <f>'Importe $ (Distribuidores)'!H89/'Importe $ (Distribuidores)'!H$131</f>
        <v>0</v>
      </c>
      <c r="H86" s="6">
        <f>'Importe $ (Distribuidores)'!I89/'Importe $ (Distribuidores)'!I$131</f>
        <v>1.0182734893558056E-2</v>
      </c>
      <c r="I86" s="6">
        <f>'Importe $ (Distribuidores)'!J89/'Importe $ (Distribuidores)'!J$131</f>
        <v>0</v>
      </c>
      <c r="J86" s="6">
        <f>'Importe $ (Distribuidores)'!K89/'Importe $ (Distribuidores)'!K$131</f>
        <v>3.4103235720142101E-3</v>
      </c>
      <c r="K86" s="6">
        <f>'Importe $ (Distribuidores)'!L89/'Importe $ (Distribuidores)'!L$131</f>
        <v>0</v>
      </c>
      <c r="L86" s="6">
        <f>'Importe $ (Distribuidores)'!M89/'Importe $ (Distribuidores)'!M$131</f>
        <v>4.0619687235862482E-3</v>
      </c>
      <c r="M86" s="6">
        <f>'Importe $ (Distribuidores)'!N89/'Importe $ (Distribuidores)'!N$131</f>
        <v>0</v>
      </c>
      <c r="N86" s="6">
        <f>'Importe $ (Distribuidores)'!O89/'Importe $ (Distribuidores)'!O$131</f>
        <v>7.0822578463152694E-3</v>
      </c>
      <c r="O86" s="6">
        <f>'Importe $ (Distribuidores)'!P89/'Importe $ (Distribuidores)'!P$131</f>
        <v>2.7273527909393554E-3</v>
      </c>
      <c r="P86" s="6">
        <f>'Importe $ (Distribuidores)'!Q89/'Importe $ (Distribuidores)'!Q$131</f>
        <v>0</v>
      </c>
      <c r="Q86" s="6">
        <f>'Importe $ (Distribuidores)'!R89/'Importe $ (Distribuidores)'!R$131</f>
        <v>0</v>
      </c>
      <c r="R86" s="6">
        <f>'Importe $ (Distribuidores)'!S89/'Importe $ (Distribuidores)'!S$131</f>
        <v>0</v>
      </c>
      <c r="S86" s="6">
        <f>'Importe $ (Distribuidores)'!T89/'Importe $ (Distribuidores)'!T$131</f>
        <v>4.2634848964208123E-3</v>
      </c>
      <c r="T86" s="6">
        <f>'Importe $ (Distribuidores)'!U89/'Importe $ (Distribuidores)'!U$131</f>
        <v>3.9595140302575941E-3</v>
      </c>
      <c r="U86" s="6">
        <f>'Importe $ (Distribuidores)'!V89/'Importe $ (Distribuidores)'!V$131</f>
        <v>2.3917359421830376E-3</v>
      </c>
      <c r="V86" s="7">
        <f t="shared" si="1"/>
        <v>2.9218735578308594E-3</v>
      </c>
      <c r="W86" s="7">
        <v>6.7442277254880527E-3</v>
      </c>
    </row>
    <row r="87" spans="1:23" ht="15" customHeight="1" x14ac:dyDescent="0.25">
      <c r="A87" s="3" t="s">
        <v>112</v>
      </c>
      <c r="B87" s="6">
        <f>'Importe $ (Distribuidores)'!C90/'Importe $ (Distribuidores)'!C$131</f>
        <v>4.0714538076015619E-2</v>
      </c>
      <c r="C87" s="6">
        <f>'Importe $ (Distribuidores)'!D90/'Importe $ (Distribuidores)'!D$131</f>
        <v>0</v>
      </c>
      <c r="D87" s="6">
        <f>'Importe $ (Distribuidores)'!E90/'Importe $ (Distribuidores)'!E$131</f>
        <v>1.8389331034271927E-2</v>
      </c>
      <c r="E87" s="6">
        <f>'Importe $ (Distribuidores)'!F90/'Importe $ (Distribuidores)'!F$131</f>
        <v>1.5587630126412183E-2</v>
      </c>
      <c r="F87" s="6">
        <f>'Importe $ (Distribuidores)'!G90/'Importe $ (Distribuidores)'!G$131</f>
        <v>6.7205160293826102E-2</v>
      </c>
      <c r="G87" s="6">
        <f>'Importe $ (Distribuidores)'!H90/'Importe $ (Distribuidores)'!H$131</f>
        <v>0.2000235586969798</v>
      </c>
      <c r="H87" s="6">
        <f>'Importe $ (Distribuidores)'!I90/'Importe $ (Distribuidores)'!I$131</f>
        <v>8.9583167857013549E-2</v>
      </c>
      <c r="I87" s="6">
        <f>'Importe $ (Distribuidores)'!J90/'Importe $ (Distribuidores)'!J$131</f>
        <v>9.866597855416398E-2</v>
      </c>
      <c r="J87" s="6">
        <f>'Importe $ (Distribuidores)'!K90/'Importe $ (Distribuidores)'!K$131</f>
        <v>3.097842455227727E-2</v>
      </c>
      <c r="K87" s="6">
        <f>'Importe $ (Distribuidores)'!L90/'Importe $ (Distribuidores)'!L$131</f>
        <v>1.4891918803505358E-2</v>
      </c>
      <c r="L87" s="6">
        <f>'Importe $ (Distribuidores)'!M90/'Importe $ (Distribuidores)'!M$131</f>
        <v>3.0691756913354289E-2</v>
      </c>
      <c r="M87" s="6">
        <f>'Importe $ (Distribuidores)'!N90/'Importe $ (Distribuidores)'!N$131</f>
        <v>0</v>
      </c>
      <c r="N87" s="6">
        <f>'Importe $ (Distribuidores)'!O90/'Importe $ (Distribuidores)'!O$131</f>
        <v>1.079744823096941E-2</v>
      </c>
      <c r="O87" s="6">
        <f>'Importe $ (Distribuidores)'!P90/'Importe $ (Distribuidores)'!P$131</f>
        <v>3.4826631737557699E-2</v>
      </c>
      <c r="P87" s="6">
        <f>'Importe $ (Distribuidores)'!Q90/'Importe $ (Distribuidores)'!Q$131</f>
        <v>7.2707624065999179E-3</v>
      </c>
      <c r="Q87" s="6">
        <f>'Importe $ (Distribuidores)'!R90/'Importe $ (Distribuidores)'!R$131</f>
        <v>0.10224825287315235</v>
      </c>
      <c r="R87" s="6">
        <f>'Importe $ (Distribuidores)'!S90/'Importe $ (Distribuidores)'!S$131</f>
        <v>2.7459560486411742E-2</v>
      </c>
      <c r="S87" s="6">
        <f>'Importe $ (Distribuidores)'!T90/'Importe $ (Distribuidores)'!T$131</f>
        <v>3.2185470283673634E-2</v>
      </c>
      <c r="T87" s="6">
        <f>'Importe $ (Distribuidores)'!U90/'Importe $ (Distribuidores)'!U$131</f>
        <v>3.4752897879023595E-2</v>
      </c>
      <c r="U87" s="6">
        <f>'Importe $ (Distribuidores)'!V90/'Importe $ (Distribuidores)'!V$131</f>
        <v>2.012593594760986E-2</v>
      </c>
      <c r="V87" s="7">
        <f t="shared" si="1"/>
        <v>4.3819921237640905E-2</v>
      </c>
      <c r="W87" s="7">
        <v>1.9544268894494662E-2</v>
      </c>
    </row>
    <row r="88" spans="1:23" ht="15" customHeight="1" x14ac:dyDescent="0.25">
      <c r="A88" s="3" t="s">
        <v>113</v>
      </c>
      <c r="B88" s="6">
        <f>'Importe $ (Distribuidores)'!C91/'Importe $ (Distribuidores)'!C$131</f>
        <v>1.052029971280735E-3</v>
      </c>
      <c r="C88" s="6">
        <f>'Importe $ (Distribuidores)'!D91/'Importe $ (Distribuidores)'!D$131</f>
        <v>0</v>
      </c>
      <c r="D88" s="6">
        <f>'Importe $ (Distribuidores)'!E91/'Importe $ (Distribuidores)'!E$131</f>
        <v>0</v>
      </c>
      <c r="E88" s="6">
        <f>'Importe $ (Distribuidores)'!F91/'Importe $ (Distribuidores)'!F$131</f>
        <v>2.6303069782669451E-3</v>
      </c>
      <c r="F88" s="6">
        <f>'Importe $ (Distribuidores)'!G91/'Importe $ (Distribuidores)'!G$131</f>
        <v>0</v>
      </c>
      <c r="G88" s="6">
        <f>'Importe $ (Distribuidores)'!H91/'Importe $ (Distribuidores)'!H$131</f>
        <v>0</v>
      </c>
      <c r="H88" s="6">
        <f>'Importe $ (Distribuidores)'!I91/'Importe $ (Distribuidores)'!I$131</f>
        <v>-2.5511710645597913E-5</v>
      </c>
      <c r="I88" s="6">
        <f>'Importe $ (Distribuidores)'!J91/'Importe $ (Distribuidores)'!J$131</f>
        <v>0</v>
      </c>
      <c r="J88" s="6">
        <f>'Importe $ (Distribuidores)'!K91/'Importe $ (Distribuidores)'!K$131</f>
        <v>3.8085521942136491E-4</v>
      </c>
      <c r="K88" s="6">
        <f>'Importe $ (Distribuidores)'!L91/'Importe $ (Distribuidores)'!L$131</f>
        <v>0</v>
      </c>
      <c r="L88" s="6">
        <f>'Importe $ (Distribuidores)'!M91/'Importe $ (Distribuidores)'!M$131</f>
        <v>-2.1797408190415033E-3</v>
      </c>
      <c r="M88" s="6">
        <f>'Importe $ (Distribuidores)'!N91/'Importe $ (Distribuidores)'!N$131</f>
        <v>0</v>
      </c>
      <c r="N88" s="6">
        <f>'Importe $ (Distribuidores)'!O91/'Importe $ (Distribuidores)'!O$131</f>
        <v>0</v>
      </c>
      <c r="O88" s="6">
        <f>'Importe $ (Distribuidores)'!P91/'Importe $ (Distribuidores)'!P$131</f>
        <v>2.657642317170614E-3</v>
      </c>
      <c r="P88" s="6">
        <f>'Importe $ (Distribuidores)'!Q91/'Importe $ (Distribuidores)'!Q$131</f>
        <v>0</v>
      </c>
      <c r="Q88" s="6">
        <f>'Importe $ (Distribuidores)'!R91/'Importe $ (Distribuidores)'!R$131</f>
        <v>0</v>
      </c>
      <c r="R88" s="6">
        <f>'Importe $ (Distribuidores)'!S91/'Importe $ (Distribuidores)'!S$131</f>
        <v>3.7559407362723938E-4</v>
      </c>
      <c r="S88" s="6">
        <f>'Importe $ (Distribuidores)'!T91/'Importe $ (Distribuidores)'!T$131</f>
        <v>0</v>
      </c>
      <c r="T88" s="6">
        <f>'Importe $ (Distribuidores)'!U91/'Importe $ (Distribuidores)'!U$131</f>
        <v>0</v>
      </c>
      <c r="U88" s="6">
        <f>'Importe $ (Distribuidores)'!V91/'Importe $ (Distribuidores)'!V$131</f>
        <v>0</v>
      </c>
      <c r="V88" s="7">
        <f t="shared" si="1"/>
        <v>2.4455880150398983E-4</v>
      </c>
      <c r="W88" s="7">
        <v>6.3755219987001481E-3</v>
      </c>
    </row>
    <row r="89" spans="1:23" ht="15" customHeight="1" x14ac:dyDescent="0.25">
      <c r="A89" s="3" t="s">
        <v>114</v>
      </c>
      <c r="B89" s="6">
        <f>'Importe $ (Distribuidores)'!C92/'Importe $ (Distribuidores)'!C$131</f>
        <v>0</v>
      </c>
      <c r="C89" s="6">
        <f>'Importe $ (Distribuidores)'!D92/'Importe $ (Distribuidores)'!D$131</f>
        <v>0</v>
      </c>
      <c r="D89" s="6">
        <f>'Importe $ (Distribuidores)'!E92/'Importe $ (Distribuidores)'!E$131</f>
        <v>0</v>
      </c>
      <c r="E89" s="6">
        <f>'Importe $ (Distribuidores)'!F92/'Importe $ (Distribuidores)'!F$131</f>
        <v>0</v>
      </c>
      <c r="F89" s="6">
        <f>'Importe $ (Distribuidores)'!G92/'Importe $ (Distribuidores)'!G$131</f>
        <v>0</v>
      </c>
      <c r="G89" s="6">
        <f>'Importe $ (Distribuidores)'!H92/'Importe $ (Distribuidores)'!H$131</f>
        <v>0</v>
      </c>
      <c r="H89" s="6">
        <f>'Importe $ (Distribuidores)'!I92/'Importe $ (Distribuidores)'!I$131</f>
        <v>0</v>
      </c>
      <c r="I89" s="6">
        <f>'Importe $ (Distribuidores)'!J92/'Importe $ (Distribuidores)'!J$131</f>
        <v>0</v>
      </c>
      <c r="J89" s="6">
        <f>'Importe $ (Distribuidores)'!K92/'Importe $ (Distribuidores)'!K$131</f>
        <v>5.3480490507705394E-4</v>
      </c>
      <c r="K89" s="6">
        <f>'Importe $ (Distribuidores)'!L92/'Importe $ (Distribuidores)'!L$131</f>
        <v>0</v>
      </c>
      <c r="L89" s="6">
        <f>'Importe $ (Distribuidores)'!M92/'Importe $ (Distribuidores)'!M$131</f>
        <v>2.8141537973707005E-3</v>
      </c>
      <c r="M89" s="6">
        <f>'Importe $ (Distribuidores)'!N92/'Importe $ (Distribuidores)'!N$131</f>
        <v>0</v>
      </c>
      <c r="N89" s="6">
        <f>'Importe $ (Distribuidores)'!O92/'Importe $ (Distribuidores)'!O$131</f>
        <v>0</v>
      </c>
      <c r="O89" s="6">
        <f>'Importe $ (Distribuidores)'!P92/'Importe $ (Distribuidores)'!P$131</f>
        <v>0</v>
      </c>
      <c r="P89" s="6">
        <f>'Importe $ (Distribuidores)'!Q92/'Importe $ (Distribuidores)'!Q$131</f>
        <v>0</v>
      </c>
      <c r="Q89" s="6">
        <f>'Importe $ (Distribuidores)'!R92/'Importe $ (Distribuidores)'!R$131</f>
        <v>0</v>
      </c>
      <c r="R89" s="6">
        <f>'Importe $ (Distribuidores)'!S92/'Importe $ (Distribuidores)'!S$131</f>
        <v>0</v>
      </c>
      <c r="S89" s="6">
        <f>'Importe $ (Distribuidores)'!T92/'Importe $ (Distribuidores)'!T$131</f>
        <v>0</v>
      </c>
      <c r="T89" s="6">
        <f>'Importe $ (Distribuidores)'!U92/'Importe $ (Distribuidores)'!U$131</f>
        <v>0</v>
      </c>
      <c r="U89" s="6">
        <f>'Importe $ (Distribuidores)'!V92/'Importe $ (Distribuidores)'!V$131</f>
        <v>0</v>
      </c>
      <c r="V89" s="7">
        <f t="shared" si="1"/>
        <v>1.6744793512238771E-4</v>
      </c>
      <c r="W89" s="7">
        <v>9.6093897144162326E-4</v>
      </c>
    </row>
    <row r="90" spans="1:23" ht="15" customHeight="1" x14ac:dyDescent="0.25">
      <c r="A90" s="3" t="s">
        <v>115</v>
      </c>
      <c r="B90" s="6">
        <f>'Importe $ (Distribuidores)'!C93/'Importe $ (Distribuidores)'!C$131</f>
        <v>-6.1019333205126966E-3</v>
      </c>
      <c r="C90" s="6">
        <f>'Importe $ (Distribuidores)'!D93/'Importe $ (Distribuidores)'!D$131</f>
        <v>-1.9772023630015439E-2</v>
      </c>
      <c r="D90" s="6">
        <f>'Importe $ (Distribuidores)'!E93/'Importe $ (Distribuidores)'!E$131</f>
        <v>-2.4973069160549786E-2</v>
      </c>
      <c r="E90" s="6">
        <f>'Importe $ (Distribuidores)'!F93/'Importe $ (Distribuidores)'!F$131</f>
        <v>-6.0398703883072009E-2</v>
      </c>
      <c r="F90" s="6">
        <f>'Importe $ (Distribuidores)'!G93/'Importe $ (Distribuidores)'!G$131</f>
        <v>0</v>
      </c>
      <c r="G90" s="6">
        <f>'Importe $ (Distribuidores)'!H93/'Importe $ (Distribuidores)'!H$131</f>
        <v>0</v>
      </c>
      <c r="H90" s="6">
        <f>'Importe $ (Distribuidores)'!I93/'Importe $ (Distribuidores)'!I$131</f>
        <v>-7.2745379389568682E-2</v>
      </c>
      <c r="I90" s="6">
        <f>'Importe $ (Distribuidores)'!J93/'Importe $ (Distribuidores)'!J$131</f>
        <v>-5.5722267109342437E-2</v>
      </c>
      <c r="J90" s="6">
        <f>'Importe $ (Distribuidores)'!K93/'Importe $ (Distribuidores)'!K$131</f>
        <v>-5.9926192207356878E-2</v>
      </c>
      <c r="K90" s="6">
        <f>'Importe $ (Distribuidores)'!L93/'Importe $ (Distribuidores)'!L$131</f>
        <v>-7.5053233486436421E-3</v>
      </c>
      <c r="L90" s="6">
        <f>'Importe $ (Distribuidores)'!M93/'Importe $ (Distribuidores)'!M$131</f>
        <v>-0.6850627635589901</v>
      </c>
      <c r="M90" s="6">
        <f>'Importe $ (Distribuidores)'!N93/'Importe $ (Distribuidores)'!N$131</f>
        <v>0</v>
      </c>
      <c r="N90" s="6">
        <f>'Importe $ (Distribuidores)'!O93/'Importe $ (Distribuidores)'!O$131</f>
        <v>-4.8353558319082626E-2</v>
      </c>
      <c r="O90" s="6">
        <f>'Importe $ (Distribuidores)'!P93/'Importe $ (Distribuidores)'!P$131</f>
        <v>-4.0830570229446451E-2</v>
      </c>
      <c r="P90" s="6">
        <f>'Importe $ (Distribuidores)'!Q93/'Importe $ (Distribuidores)'!Q$131</f>
        <v>-4.7995002676882378E-2</v>
      </c>
      <c r="Q90" s="6">
        <f>'Importe $ (Distribuidores)'!R93/'Importe $ (Distribuidores)'!R$131</f>
        <v>0</v>
      </c>
      <c r="R90" s="6">
        <f>'Importe $ (Distribuidores)'!S93/'Importe $ (Distribuidores)'!S$131</f>
        <v>-3.0453905312161089E-2</v>
      </c>
      <c r="S90" s="6">
        <f>'Importe $ (Distribuidores)'!T93/'Importe $ (Distribuidores)'!T$131</f>
        <v>-1.5514871943468731E-3</v>
      </c>
      <c r="T90" s="6">
        <f>'Importe $ (Distribuidores)'!U93/'Importe $ (Distribuidores)'!U$131</f>
        <v>-1.2439309999789008E-2</v>
      </c>
      <c r="U90" s="6">
        <f>'Importe $ (Distribuidores)'!V93/'Importe $ (Distribuidores)'!V$131</f>
        <v>0</v>
      </c>
      <c r="V90" s="7">
        <f t="shared" si="1"/>
        <v>-5.8691574466988007E-2</v>
      </c>
      <c r="W90" s="7">
        <v>-1.5549190951094005E-2</v>
      </c>
    </row>
    <row r="91" spans="1:23" ht="15" customHeight="1" x14ac:dyDescent="0.25">
      <c r="A91" s="3" t="s">
        <v>116</v>
      </c>
      <c r="B91" s="6">
        <f>'Importe $ (Distribuidores)'!C94/'Importe $ (Distribuidores)'!C$131</f>
        <v>0</v>
      </c>
      <c r="C91" s="6">
        <f>'Importe $ (Distribuidores)'!D94/'Importe $ (Distribuidores)'!D$131</f>
        <v>0</v>
      </c>
      <c r="D91" s="6">
        <f>'Importe $ (Distribuidores)'!E94/'Importe $ (Distribuidores)'!E$131</f>
        <v>2.079509679752768E-4</v>
      </c>
      <c r="E91" s="6">
        <f>'Importe $ (Distribuidores)'!F94/'Importe $ (Distribuidores)'!F$131</f>
        <v>-6.7332395261326936E-5</v>
      </c>
      <c r="F91" s="6">
        <f>'Importe $ (Distribuidores)'!G94/'Importe $ (Distribuidores)'!G$131</f>
        <v>0</v>
      </c>
      <c r="G91" s="6">
        <f>'Importe $ (Distribuidores)'!H94/'Importe $ (Distribuidores)'!H$131</f>
        <v>0</v>
      </c>
      <c r="H91" s="6">
        <f>'Importe $ (Distribuidores)'!I94/'Importe $ (Distribuidores)'!I$131</f>
        <v>-7.2452855066078997E-4</v>
      </c>
      <c r="I91" s="6">
        <f>'Importe $ (Distribuidores)'!J94/'Importe $ (Distribuidores)'!J$131</f>
        <v>0</v>
      </c>
      <c r="J91" s="6">
        <f>'Importe $ (Distribuidores)'!K94/'Importe $ (Distribuidores)'!K$131</f>
        <v>1.3808689421038409E-4</v>
      </c>
      <c r="K91" s="6">
        <f>'Importe $ (Distribuidores)'!L94/'Importe $ (Distribuidores)'!L$131</f>
        <v>0</v>
      </c>
      <c r="L91" s="6">
        <f>'Importe $ (Distribuidores)'!M94/'Importe $ (Distribuidores)'!M$131</f>
        <v>1.5988220061341422E-2</v>
      </c>
      <c r="M91" s="6">
        <f>'Importe $ (Distribuidores)'!N94/'Importe $ (Distribuidores)'!N$131</f>
        <v>0</v>
      </c>
      <c r="N91" s="6">
        <f>'Importe $ (Distribuidores)'!O94/'Importe $ (Distribuidores)'!O$131</f>
        <v>0</v>
      </c>
      <c r="O91" s="6">
        <f>'Importe $ (Distribuidores)'!P94/'Importe $ (Distribuidores)'!P$131</f>
        <v>9.4840857449844109E-4</v>
      </c>
      <c r="P91" s="6">
        <f>'Importe $ (Distribuidores)'!Q94/'Importe $ (Distribuidores)'!Q$131</f>
        <v>0</v>
      </c>
      <c r="Q91" s="6">
        <f>'Importe $ (Distribuidores)'!R94/'Importe $ (Distribuidores)'!R$131</f>
        <v>0</v>
      </c>
      <c r="R91" s="6">
        <f>'Importe $ (Distribuidores)'!S94/'Importe $ (Distribuidores)'!S$131</f>
        <v>0</v>
      </c>
      <c r="S91" s="6">
        <f>'Importe $ (Distribuidores)'!T94/'Importe $ (Distribuidores)'!T$131</f>
        <v>0</v>
      </c>
      <c r="T91" s="6">
        <f>'Importe $ (Distribuidores)'!U94/'Importe $ (Distribuidores)'!U$131</f>
        <v>0</v>
      </c>
      <c r="U91" s="6">
        <f>'Importe $ (Distribuidores)'!V94/'Importe $ (Distribuidores)'!V$131</f>
        <v>1.5721867413596032E-3</v>
      </c>
      <c r="V91" s="7">
        <f t="shared" si="1"/>
        <v>9.0314961467315039E-4</v>
      </c>
      <c r="W91" s="7">
        <v>4.6105892500600807E-4</v>
      </c>
    </row>
    <row r="92" spans="1:23" ht="15" customHeight="1" x14ac:dyDescent="0.25">
      <c r="A92" s="3" t="s">
        <v>117</v>
      </c>
      <c r="B92" s="6">
        <f>'Importe $ (Distribuidores)'!C95/'Importe $ (Distribuidores)'!C$131</f>
        <v>3.4960552411373996E-3</v>
      </c>
      <c r="C92" s="6">
        <f>'Importe $ (Distribuidores)'!D95/'Importe $ (Distribuidores)'!D$131</f>
        <v>0</v>
      </c>
      <c r="D92" s="6">
        <f>'Importe $ (Distribuidores)'!E95/'Importe $ (Distribuidores)'!E$131</f>
        <v>2.1874982667393635E-2</v>
      </c>
      <c r="E92" s="6">
        <f>'Importe $ (Distribuidores)'!F95/'Importe $ (Distribuidores)'!F$131</f>
        <v>6.2340967533921704E-3</v>
      </c>
      <c r="F92" s="6">
        <f>'Importe $ (Distribuidores)'!G95/'Importe $ (Distribuidores)'!G$131</f>
        <v>0</v>
      </c>
      <c r="G92" s="6">
        <f>'Importe $ (Distribuidores)'!H95/'Importe $ (Distribuidores)'!H$131</f>
        <v>0</v>
      </c>
      <c r="H92" s="6">
        <f>'Importe $ (Distribuidores)'!I95/'Importe $ (Distribuidores)'!I$131</f>
        <v>7.3616132628079563E-3</v>
      </c>
      <c r="I92" s="6">
        <f>'Importe $ (Distribuidores)'!J95/'Importe $ (Distribuidores)'!J$131</f>
        <v>0</v>
      </c>
      <c r="J92" s="6">
        <f>'Importe $ (Distribuidores)'!K95/'Importe $ (Distribuidores)'!K$131</f>
        <v>7.870459802512577E-3</v>
      </c>
      <c r="K92" s="6">
        <f>'Importe $ (Distribuidores)'!L95/'Importe $ (Distribuidores)'!L$131</f>
        <v>1.7485845562436302E-3</v>
      </c>
      <c r="L92" s="6">
        <f>'Importe $ (Distribuidores)'!M95/'Importe $ (Distribuidores)'!M$131</f>
        <v>2.2361327045487805E-2</v>
      </c>
      <c r="M92" s="6">
        <f>'Importe $ (Distribuidores)'!N95/'Importe $ (Distribuidores)'!N$131</f>
        <v>0</v>
      </c>
      <c r="N92" s="6">
        <f>'Importe $ (Distribuidores)'!O95/'Importe $ (Distribuidores)'!O$131</f>
        <v>0</v>
      </c>
      <c r="O92" s="6">
        <f>'Importe $ (Distribuidores)'!P95/'Importe $ (Distribuidores)'!P$131</f>
        <v>3.8436247704174359E-3</v>
      </c>
      <c r="P92" s="6">
        <f>'Importe $ (Distribuidores)'!Q95/'Importe $ (Distribuidores)'!Q$131</f>
        <v>-3.1295709794810288E-3</v>
      </c>
      <c r="Q92" s="6">
        <f>'Importe $ (Distribuidores)'!R95/'Importe $ (Distribuidores)'!R$131</f>
        <v>0</v>
      </c>
      <c r="R92" s="6">
        <f>'Importe $ (Distribuidores)'!S95/'Importe $ (Distribuidores)'!S$131</f>
        <v>4.5871475614152153E-3</v>
      </c>
      <c r="S92" s="6">
        <f>'Importe $ (Distribuidores)'!T95/'Importe $ (Distribuidores)'!T$131</f>
        <v>3.9142639305295244E-4</v>
      </c>
      <c r="T92" s="6">
        <f>'Importe $ (Distribuidores)'!U95/'Importe $ (Distribuidores)'!U$131</f>
        <v>7.683342701571283E-3</v>
      </c>
      <c r="U92" s="6">
        <f>'Importe $ (Distribuidores)'!V95/'Importe $ (Distribuidores)'!V$131</f>
        <v>1.2789380855119834E-2</v>
      </c>
      <c r="V92" s="7">
        <f t="shared" si="1"/>
        <v>4.855623531553545E-3</v>
      </c>
      <c r="W92" s="7">
        <v>8.343206493887749E-3</v>
      </c>
    </row>
    <row r="93" spans="1:23" ht="15" customHeight="1" x14ac:dyDescent="0.25">
      <c r="A93" s="3" t="s">
        <v>118</v>
      </c>
      <c r="B93" s="6">
        <f>'Importe $ (Distribuidores)'!C96/'Importe $ (Distribuidores)'!C$131</f>
        <v>0</v>
      </c>
      <c r="C93" s="6">
        <f>'Importe $ (Distribuidores)'!D96/'Importe $ (Distribuidores)'!D$131</f>
        <v>0</v>
      </c>
      <c r="D93" s="6">
        <f>'Importe $ (Distribuidores)'!E96/'Importe $ (Distribuidores)'!E$131</f>
        <v>1.1865154595884874E-2</v>
      </c>
      <c r="E93" s="6">
        <f>'Importe $ (Distribuidores)'!F96/'Importe $ (Distribuidores)'!F$131</f>
        <v>1.9714042284709832E-4</v>
      </c>
      <c r="F93" s="6">
        <f>'Importe $ (Distribuidores)'!G96/'Importe $ (Distribuidores)'!G$131</f>
        <v>0</v>
      </c>
      <c r="G93" s="6">
        <f>'Importe $ (Distribuidores)'!H96/'Importe $ (Distribuidores)'!H$131</f>
        <v>0</v>
      </c>
      <c r="H93" s="6">
        <f>'Importe $ (Distribuidores)'!I96/'Importe $ (Distribuidores)'!I$131</f>
        <v>-4.0874456837798834E-5</v>
      </c>
      <c r="I93" s="6">
        <f>'Importe $ (Distribuidores)'!J96/'Importe $ (Distribuidores)'!J$131</f>
        <v>0</v>
      </c>
      <c r="J93" s="6">
        <f>'Importe $ (Distribuidores)'!K96/'Importe $ (Distribuidores)'!K$131</f>
        <v>2.801085603807936E-3</v>
      </c>
      <c r="K93" s="6">
        <f>'Importe $ (Distribuidores)'!L96/'Importe $ (Distribuidores)'!L$131</f>
        <v>1.8236617518704267E-3</v>
      </c>
      <c r="L93" s="6">
        <f>'Importe $ (Distribuidores)'!M96/'Importe $ (Distribuidores)'!M$131</f>
        <v>1.5095722275025496E-3</v>
      </c>
      <c r="M93" s="6">
        <f>'Importe $ (Distribuidores)'!N96/'Importe $ (Distribuidores)'!N$131</f>
        <v>0</v>
      </c>
      <c r="N93" s="6">
        <f>'Importe $ (Distribuidores)'!O96/'Importe $ (Distribuidores)'!O$131</f>
        <v>0</v>
      </c>
      <c r="O93" s="6">
        <f>'Importe $ (Distribuidores)'!P96/'Importe $ (Distribuidores)'!P$131</f>
        <v>5.1193348951085905E-4</v>
      </c>
      <c r="P93" s="6">
        <f>'Importe $ (Distribuidores)'!Q96/'Importe $ (Distribuidores)'!Q$131</f>
        <v>0</v>
      </c>
      <c r="Q93" s="6">
        <f>'Importe $ (Distribuidores)'!R96/'Importe $ (Distribuidores)'!R$131</f>
        <v>0</v>
      </c>
      <c r="R93" s="6">
        <f>'Importe $ (Distribuidores)'!S96/'Importe $ (Distribuidores)'!S$131</f>
        <v>1.0620406828928963E-3</v>
      </c>
      <c r="S93" s="6">
        <f>'Importe $ (Distribuidores)'!T96/'Importe $ (Distribuidores)'!T$131</f>
        <v>6.4361697664912839E-3</v>
      </c>
      <c r="T93" s="6">
        <f>'Importe $ (Distribuidores)'!U96/'Importe $ (Distribuidores)'!U$131</f>
        <v>0</v>
      </c>
      <c r="U93" s="6">
        <f>'Importe $ (Distribuidores)'!V96/'Importe $ (Distribuidores)'!V$131</f>
        <v>4.9258371190198276E-3</v>
      </c>
      <c r="V93" s="7">
        <f t="shared" si="1"/>
        <v>1.5545860601494975E-3</v>
      </c>
      <c r="W93" s="7">
        <v>2.6791115253370951E-3</v>
      </c>
    </row>
    <row r="94" spans="1:23" ht="15" customHeight="1" x14ac:dyDescent="0.25">
      <c r="A94" s="3" t="s">
        <v>119</v>
      </c>
      <c r="B94" s="6">
        <f>'Importe $ (Distribuidores)'!C97/'Importe $ (Distribuidores)'!C$131</f>
        <v>2.2961740972922032E-2</v>
      </c>
      <c r="C94" s="6">
        <f>'Importe $ (Distribuidores)'!D97/'Importe $ (Distribuidores)'!D$131</f>
        <v>0</v>
      </c>
      <c r="D94" s="6">
        <f>'Importe $ (Distribuidores)'!E97/'Importe $ (Distribuidores)'!E$131</f>
        <v>7.922000756120845E-3</v>
      </c>
      <c r="E94" s="6">
        <f>'Importe $ (Distribuidores)'!F97/'Importe $ (Distribuidores)'!F$131</f>
        <v>9.8197123725215895E-3</v>
      </c>
      <c r="F94" s="6">
        <f>'Importe $ (Distribuidores)'!G97/'Importe $ (Distribuidores)'!G$131</f>
        <v>0</v>
      </c>
      <c r="G94" s="6">
        <f>'Importe $ (Distribuidores)'!H97/'Importe $ (Distribuidores)'!H$131</f>
        <v>4.1262452418676349E-2</v>
      </c>
      <c r="H94" s="6">
        <f>'Importe $ (Distribuidores)'!I97/'Importe $ (Distribuidores)'!I$131</f>
        <v>1.4622070786405956E-3</v>
      </c>
      <c r="I94" s="6">
        <f>'Importe $ (Distribuidores)'!J97/'Importe $ (Distribuidores)'!J$131</f>
        <v>0</v>
      </c>
      <c r="J94" s="6">
        <f>'Importe $ (Distribuidores)'!K97/'Importe $ (Distribuidores)'!K$131</f>
        <v>3.1808693047969551E-2</v>
      </c>
      <c r="K94" s="6">
        <f>'Importe $ (Distribuidores)'!L97/'Importe $ (Distribuidores)'!L$131</f>
        <v>8.0747550401899567E-3</v>
      </c>
      <c r="L94" s="6">
        <f>'Importe $ (Distribuidores)'!M97/'Importe $ (Distribuidores)'!M$131</f>
        <v>2.1539787563737634E-2</v>
      </c>
      <c r="M94" s="6">
        <f>'Importe $ (Distribuidores)'!N97/'Importe $ (Distribuidores)'!N$131</f>
        <v>0</v>
      </c>
      <c r="N94" s="6">
        <f>'Importe $ (Distribuidores)'!O97/'Importe $ (Distribuidores)'!O$131</f>
        <v>6.3423204593868079E-4</v>
      </c>
      <c r="O94" s="6">
        <f>'Importe $ (Distribuidores)'!P97/'Importe $ (Distribuidores)'!P$131</f>
        <v>1.380622478995297E-2</v>
      </c>
      <c r="P94" s="6">
        <f>'Importe $ (Distribuidores)'!Q97/'Importe $ (Distribuidores)'!Q$131</f>
        <v>-7.6892654856394174E-4</v>
      </c>
      <c r="Q94" s="6">
        <f>'Importe $ (Distribuidores)'!R97/'Importe $ (Distribuidores)'!R$131</f>
        <v>0</v>
      </c>
      <c r="R94" s="6">
        <f>'Importe $ (Distribuidores)'!S97/'Importe $ (Distribuidores)'!S$131</f>
        <v>5.166654191384229E-2</v>
      </c>
      <c r="S94" s="6">
        <f>'Importe $ (Distribuidores)'!T97/'Importe $ (Distribuidores)'!T$131</f>
        <v>1.4021253355667711E-2</v>
      </c>
      <c r="T94" s="6">
        <f>'Importe $ (Distribuidores)'!U97/'Importe $ (Distribuidores)'!U$131</f>
        <v>3.6088142161490637E-2</v>
      </c>
      <c r="U94" s="6">
        <f>'Importe $ (Distribuidores)'!V97/'Importe $ (Distribuidores)'!V$131</f>
        <v>1.5207454365713814E-2</v>
      </c>
      <c r="V94" s="7">
        <f t="shared" si="1"/>
        <v>1.3775313566741035E-2</v>
      </c>
      <c r="W94" s="7">
        <v>1.0638107437037397E-2</v>
      </c>
    </row>
    <row r="95" spans="1:23" ht="15" customHeight="1" x14ac:dyDescent="0.25">
      <c r="A95" s="3" t="s">
        <v>120</v>
      </c>
      <c r="B95" s="6">
        <f>'Importe $ (Distribuidores)'!C98/'Importe $ (Distribuidores)'!C$131</f>
        <v>1.3408060581445464E-2</v>
      </c>
      <c r="C95" s="6">
        <f>'Importe $ (Distribuidores)'!D98/'Importe $ (Distribuidores)'!D$131</f>
        <v>0</v>
      </c>
      <c r="D95" s="6">
        <f>'Importe $ (Distribuidores)'!E98/'Importe $ (Distribuidores)'!E$131</f>
        <v>1.5376732583455453E-2</v>
      </c>
      <c r="E95" s="6">
        <f>'Importe $ (Distribuidores)'!F98/'Importe $ (Distribuidores)'!F$131</f>
        <v>1.3750710065048858E-2</v>
      </c>
      <c r="F95" s="6">
        <f>'Importe $ (Distribuidores)'!G98/'Importe $ (Distribuidores)'!G$131</f>
        <v>0</v>
      </c>
      <c r="G95" s="6">
        <f>'Importe $ (Distribuidores)'!H98/'Importe $ (Distribuidores)'!H$131</f>
        <v>0</v>
      </c>
      <c r="H95" s="6">
        <f>'Importe $ (Distribuidores)'!I98/'Importe $ (Distribuidores)'!I$131</f>
        <v>2.8036096920854149E-3</v>
      </c>
      <c r="I95" s="6">
        <f>'Importe $ (Distribuidores)'!J98/'Importe $ (Distribuidores)'!J$131</f>
        <v>0</v>
      </c>
      <c r="J95" s="6">
        <f>'Importe $ (Distribuidores)'!K98/'Importe $ (Distribuidores)'!K$131</f>
        <v>1.1320765166600452E-2</v>
      </c>
      <c r="K95" s="6">
        <f>'Importe $ (Distribuidores)'!L98/'Importe $ (Distribuidores)'!L$131</f>
        <v>5.1936435329487966E-3</v>
      </c>
      <c r="L95" s="6">
        <f>'Importe $ (Distribuidores)'!M98/'Importe $ (Distribuidores)'!M$131</f>
        <v>5.2492352937173097E-3</v>
      </c>
      <c r="M95" s="6">
        <f>'Importe $ (Distribuidores)'!N98/'Importe $ (Distribuidores)'!N$131</f>
        <v>0</v>
      </c>
      <c r="N95" s="6">
        <f>'Importe $ (Distribuidores)'!O98/'Importe $ (Distribuidores)'!O$131</f>
        <v>2.1669594902904921E-2</v>
      </c>
      <c r="O95" s="6">
        <f>'Importe $ (Distribuidores)'!P98/'Importe $ (Distribuidores)'!P$131</f>
        <v>1.3503306149049715E-2</v>
      </c>
      <c r="P95" s="6">
        <f>'Importe $ (Distribuidores)'!Q98/'Importe $ (Distribuidores)'!Q$131</f>
        <v>1.1421155947034037E-2</v>
      </c>
      <c r="Q95" s="6">
        <f>'Importe $ (Distribuidores)'!R98/'Importe $ (Distribuidores)'!R$131</f>
        <v>0</v>
      </c>
      <c r="R95" s="6">
        <f>'Importe $ (Distribuidores)'!S98/'Importe $ (Distribuidores)'!S$131</f>
        <v>8.8406853589175528E-3</v>
      </c>
      <c r="S95" s="6">
        <f>'Importe $ (Distribuidores)'!T98/'Importe $ (Distribuidores)'!T$131</f>
        <v>0</v>
      </c>
      <c r="T95" s="6">
        <f>'Importe $ (Distribuidores)'!U98/'Importe $ (Distribuidores)'!U$131</f>
        <v>2.236654056377653E-2</v>
      </c>
      <c r="U95" s="6">
        <f>'Importe $ (Distribuidores)'!V98/'Importe $ (Distribuidores)'!V$131</f>
        <v>9.5188955020365108E-3</v>
      </c>
      <c r="V95" s="7">
        <f t="shared" si="1"/>
        <v>7.7211467669510495E-3</v>
      </c>
      <c r="W95" s="7">
        <v>5.8374328243091878E-3</v>
      </c>
    </row>
    <row r="96" spans="1:23" ht="15" customHeight="1" x14ac:dyDescent="0.25">
      <c r="A96" s="3" t="s">
        <v>121</v>
      </c>
      <c r="B96" s="6">
        <f>'Importe $ (Distribuidores)'!C99/'Importe $ (Distribuidores)'!C$131</f>
        <v>0</v>
      </c>
      <c r="C96" s="6">
        <f>'Importe $ (Distribuidores)'!D99/'Importe $ (Distribuidores)'!D$131</f>
        <v>0</v>
      </c>
      <c r="D96" s="6">
        <f>'Importe $ (Distribuidores)'!E99/'Importe $ (Distribuidores)'!E$131</f>
        <v>-2.1571033245196625E-5</v>
      </c>
      <c r="E96" s="6">
        <f>'Importe $ (Distribuidores)'!F99/'Importe $ (Distribuidores)'!F$131</f>
        <v>0</v>
      </c>
      <c r="F96" s="6">
        <f>'Importe $ (Distribuidores)'!G99/'Importe $ (Distribuidores)'!G$131</f>
        <v>0</v>
      </c>
      <c r="G96" s="6">
        <f>'Importe $ (Distribuidores)'!H99/'Importe $ (Distribuidores)'!H$131</f>
        <v>0</v>
      </c>
      <c r="H96" s="6">
        <f>'Importe $ (Distribuidores)'!I99/'Importe $ (Distribuidores)'!I$131</f>
        <v>0</v>
      </c>
      <c r="I96" s="6">
        <f>'Importe $ (Distribuidores)'!J99/'Importe $ (Distribuidores)'!J$131</f>
        <v>0</v>
      </c>
      <c r="J96" s="6">
        <f>'Importe $ (Distribuidores)'!K99/'Importe $ (Distribuidores)'!K$131</f>
        <v>-3.0576383718013628E-5</v>
      </c>
      <c r="K96" s="6">
        <f>'Importe $ (Distribuidores)'!L99/'Importe $ (Distribuidores)'!L$131</f>
        <v>0</v>
      </c>
      <c r="L96" s="6">
        <f>'Importe $ (Distribuidores)'!M99/'Importe $ (Distribuidores)'!M$131</f>
        <v>-1.3298111892693074E-3</v>
      </c>
      <c r="M96" s="6">
        <f>'Importe $ (Distribuidores)'!N99/'Importe $ (Distribuidores)'!N$131</f>
        <v>0</v>
      </c>
      <c r="N96" s="6">
        <f>'Importe $ (Distribuidores)'!O99/'Importe $ (Distribuidores)'!O$131</f>
        <v>0</v>
      </c>
      <c r="O96" s="6">
        <f>'Importe $ (Distribuidores)'!P99/'Importe $ (Distribuidores)'!P$131</f>
        <v>-1.0238669790217181E-4</v>
      </c>
      <c r="P96" s="6">
        <f>'Importe $ (Distribuidores)'!Q99/'Importe $ (Distribuidores)'!Q$131</f>
        <v>0</v>
      </c>
      <c r="Q96" s="6">
        <f>'Importe $ (Distribuidores)'!R99/'Importe $ (Distribuidores)'!R$131</f>
        <v>0</v>
      </c>
      <c r="R96" s="6">
        <f>'Importe $ (Distribuidores)'!S99/'Importe $ (Distribuidores)'!S$131</f>
        <v>-5.1793230391057818E-5</v>
      </c>
      <c r="S96" s="6">
        <f>'Importe $ (Distribuidores)'!T99/'Importe $ (Distribuidores)'!T$131</f>
        <v>0</v>
      </c>
      <c r="T96" s="6">
        <f>'Importe $ (Distribuidores)'!U99/'Importe $ (Distribuidores)'!U$131</f>
        <v>0</v>
      </c>
      <c r="U96" s="6">
        <f>'Importe $ (Distribuidores)'!V99/'Importe $ (Distribuidores)'!V$131</f>
        <v>0</v>
      </c>
      <c r="V96" s="7">
        <f t="shared" si="1"/>
        <v>-7.6806926726287366E-5</v>
      </c>
      <c r="W96" s="7">
        <v>-8.8938093818775476E-6</v>
      </c>
    </row>
    <row r="97" spans="1:23" ht="15" customHeight="1" x14ac:dyDescent="0.25">
      <c r="A97" s="3" t="s">
        <v>122</v>
      </c>
      <c r="B97" s="6">
        <f>'Importe $ (Distribuidores)'!C100/'Importe $ (Distribuidores)'!C$131</f>
        <v>0</v>
      </c>
      <c r="C97" s="6">
        <f>'Importe $ (Distribuidores)'!D100/'Importe $ (Distribuidores)'!D$131</f>
        <v>0</v>
      </c>
      <c r="D97" s="6">
        <f>'Importe $ (Distribuidores)'!E100/'Importe $ (Distribuidores)'!E$131</f>
        <v>4.7487310597339326E-4</v>
      </c>
      <c r="E97" s="6">
        <f>'Importe $ (Distribuidores)'!F100/'Importe $ (Distribuidores)'!F$131</f>
        <v>-5.2982868402355642E-5</v>
      </c>
      <c r="F97" s="6">
        <f>'Importe $ (Distribuidores)'!G100/'Importe $ (Distribuidores)'!G$131</f>
        <v>0</v>
      </c>
      <c r="G97" s="6">
        <f>'Importe $ (Distribuidores)'!H100/'Importe $ (Distribuidores)'!H$131</f>
        <v>0</v>
      </c>
      <c r="H97" s="6">
        <f>'Importe $ (Distribuidores)'!I100/'Importe $ (Distribuidores)'!I$131</f>
        <v>2.3899040969275085E-4</v>
      </c>
      <c r="I97" s="6">
        <f>'Importe $ (Distribuidores)'!J100/'Importe $ (Distribuidores)'!J$131</f>
        <v>0</v>
      </c>
      <c r="J97" s="6">
        <f>'Importe $ (Distribuidores)'!K100/'Importe $ (Distribuidores)'!K$131</f>
        <v>0</v>
      </c>
      <c r="K97" s="6">
        <f>'Importe $ (Distribuidores)'!L100/'Importe $ (Distribuidores)'!L$131</f>
        <v>0</v>
      </c>
      <c r="L97" s="6">
        <f>'Importe $ (Distribuidores)'!M100/'Importe $ (Distribuidores)'!M$131</f>
        <v>8.0419411841187362E-3</v>
      </c>
      <c r="M97" s="6">
        <f>'Importe $ (Distribuidores)'!N100/'Importe $ (Distribuidores)'!N$131</f>
        <v>0</v>
      </c>
      <c r="N97" s="6">
        <f>'Importe $ (Distribuidores)'!O100/'Importe $ (Distribuidores)'!O$131</f>
        <v>0</v>
      </c>
      <c r="O97" s="6">
        <f>'Importe $ (Distribuidores)'!P100/'Importe $ (Distribuidores)'!P$131</f>
        <v>0</v>
      </c>
      <c r="P97" s="6">
        <f>'Importe $ (Distribuidores)'!Q100/'Importe $ (Distribuidores)'!Q$131</f>
        <v>0</v>
      </c>
      <c r="Q97" s="6">
        <f>'Importe $ (Distribuidores)'!R100/'Importe $ (Distribuidores)'!R$131</f>
        <v>0</v>
      </c>
      <c r="R97" s="6">
        <f>'Importe $ (Distribuidores)'!S100/'Importe $ (Distribuidores)'!S$131</f>
        <v>0</v>
      </c>
      <c r="S97" s="6">
        <f>'Importe $ (Distribuidores)'!T100/'Importe $ (Distribuidores)'!T$131</f>
        <v>0</v>
      </c>
      <c r="T97" s="6">
        <f>'Importe $ (Distribuidores)'!U100/'Importe $ (Distribuidores)'!U$131</f>
        <v>0</v>
      </c>
      <c r="U97" s="6">
        <f>'Importe $ (Distribuidores)'!V100/'Importe $ (Distribuidores)'!V$131</f>
        <v>0</v>
      </c>
      <c r="V97" s="7">
        <f t="shared" si="1"/>
        <v>4.3514109156912625E-4</v>
      </c>
      <c r="W97" s="7">
        <v>2.0499287919054023E-4</v>
      </c>
    </row>
    <row r="98" spans="1:23" ht="15" customHeight="1" x14ac:dyDescent="0.25">
      <c r="A98" s="3" t="s">
        <v>123</v>
      </c>
      <c r="B98" s="6">
        <f>'Importe $ (Distribuidores)'!C101/'Importe $ (Distribuidores)'!C$131</f>
        <v>0</v>
      </c>
      <c r="C98" s="6">
        <f>'Importe $ (Distribuidores)'!D101/'Importe $ (Distribuidores)'!D$131</f>
        <v>0</v>
      </c>
      <c r="D98" s="6">
        <f>'Importe $ (Distribuidores)'!E101/'Importe $ (Distribuidores)'!E$131</f>
        <v>0</v>
      </c>
      <c r="E98" s="6">
        <f>'Importe $ (Distribuidores)'!F101/'Importe $ (Distribuidores)'!F$131</f>
        <v>0</v>
      </c>
      <c r="F98" s="6">
        <f>'Importe $ (Distribuidores)'!G101/'Importe $ (Distribuidores)'!G$131</f>
        <v>0</v>
      </c>
      <c r="G98" s="6">
        <f>'Importe $ (Distribuidores)'!H101/'Importe $ (Distribuidores)'!H$131</f>
        <v>0</v>
      </c>
      <c r="H98" s="6">
        <f>'Importe $ (Distribuidores)'!I101/'Importe $ (Distribuidores)'!I$131</f>
        <v>2.5312711342590128E-5</v>
      </c>
      <c r="I98" s="6">
        <f>'Importe $ (Distribuidores)'!J101/'Importe $ (Distribuidores)'!J$131</f>
        <v>0</v>
      </c>
      <c r="J98" s="6">
        <f>'Importe $ (Distribuidores)'!K101/'Importe $ (Distribuidores)'!K$131</f>
        <v>0</v>
      </c>
      <c r="K98" s="6">
        <f>'Importe $ (Distribuidores)'!L101/'Importe $ (Distribuidores)'!L$131</f>
        <v>0</v>
      </c>
      <c r="L98" s="6">
        <f>'Importe $ (Distribuidores)'!M101/'Importe $ (Distribuidores)'!M$131</f>
        <v>0</v>
      </c>
      <c r="M98" s="6">
        <f>'Importe $ (Distribuidores)'!N101/'Importe $ (Distribuidores)'!N$131</f>
        <v>0</v>
      </c>
      <c r="N98" s="6">
        <f>'Importe $ (Distribuidores)'!O101/'Importe $ (Distribuidores)'!O$131</f>
        <v>0</v>
      </c>
      <c r="O98" s="6">
        <f>'Importe $ (Distribuidores)'!P101/'Importe $ (Distribuidores)'!P$131</f>
        <v>0</v>
      </c>
      <c r="P98" s="6">
        <f>'Importe $ (Distribuidores)'!Q101/'Importe $ (Distribuidores)'!Q$131</f>
        <v>0</v>
      </c>
      <c r="Q98" s="6">
        <f>'Importe $ (Distribuidores)'!R101/'Importe $ (Distribuidores)'!R$131</f>
        <v>0</v>
      </c>
      <c r="R98" s="6">
        <f>'Importe $ (Distribuidores)'!S101/'Importe $ (Distribuidores)'!S$131</f>
        <v>0</v>
      </c>
      <c r="S98" s="6">
        <f>'Importe $ (Distribuidores)'!T101/'Importe $ (Distribuidores)'!T$131</f>
        <v>0</v>
      </c>
      <c r="T98" s="6">
        <f>'Importe $ (Distribuidores)'!U101/'Importe $ (Distribuidores)'!U$131</f>
        <v>0</v>
      </c>
      <c r="U98" s="6">
        <f>'Importe $ (Distribuidores)'!V101/'Importe $ (Distribuidores)'!V$131</f>
        <v>0</v>
      </c>
      <c r="V98" s="7">
        <f t="shared" si="1"/>
        <v>1.2656355671295064E-6</v>
      </c>
      <c r="W98" s="7">
        <v>2.1224012428569372E-5</v>
      </c>
    </row>
    <row r="99" spans="1:23" ht="15" customHeight="1" x14ac:dyDescent="0.25">
      <c r="A99" s="3" t="s">
        <v>124</v>
      </c>
      <c r="B99" s="6">
        <f>'Importe $ (Distribuidores)'!C102/'Importe $ (Distribuidores)'!C$131</f>
        <v>-3.3771390128661627E-5</v>
      </c>
      <c r="C99" s="6">
        <f>'Importe $ (Distribuidores)'!D102/'Importe $ (Distribuidores)'!D$131</f>
        <v>0</v>
      </c>
      <c r="D99" s="6">
        <f>'Importe $ (Distribuidores)'!E102/'Importe $ (Distribuidores)'!E$131</f>
        <v>5.9186819892711323E-4</v>
      </c>
      <c r="E99" s="6">
        <f>'Importe $ (Distribuidores)'!F102/'Importe $ (Distribuidores)'!F$131</f>
        <v>5.0979898081833265E-3</v>
      </c>
      <c r="F99" s="6">
        <f>'Importe $ (Distribuidores)'!G102/'Importe $ (Distribuidores)'!G$131</f>
        <v>0</v>
      </c>
      <c r="G99" s="6">
        <f>'Importe $ (Distribuidores)'!H102/'Importe $ (Distribuidores)'!H$131</f>
        <v>0</v>
      </c>
      <c r="H99" s="6">
        <f>'Importe $ (Distribuidores)'!I102/'Importe $ (Distribuidores)'!I$131</f>
        <v>1.9707288637840732E-4</v>
      </c>
      <c r="I99" s="6">
        <f>'Importe $ (Distribuidores)'!J102/'Importe $ (Distribuidores)'!J$131</f>
        <v>0</v>
      </c>
      <c r="J99" s="6">
        <f>'Importe $ (Distribuidores)'!K102/'Importe $ (Distribuidores)'!K$131</f>
        <v>1.2789136567519319E-3</v>
      </c>
      <c r="K99" s="6">
        <f>'Importe $ (Distribuidores)'!L102/'Importe $ (Distribuidores)'!L$131</f>
        <v>6.0524957708388792E-4</v>
      </c>
      <c r="L99" s="6">
        <f>'Importe $ (Distribuidores)'!M102/'Importe $ (Distribuidores)'!M$131</f>
        <v>5.7103038577951638E-3</v>
      </c>
      <c r="M99" s="6">
        <f>'Importe $ (Distribuidores)'!N102/'Importe $ (Distribuidores)'!N$131</f>
        <v>0</v>
      </c>
      <c r="N99" s="6">
        <f>'Importe $ (Distribuidores)'!O102/'Importe $ (Distribuidores)'!O$131</f>
        <v>0</v>
      </c>
      <c r="O99" s="6">
        <f>'Importe $ (Distribuidores)'!P102/'Importe $ (Distribuidores)'!P$131</f>
        <v>1.1565151808718298E-3</v>
      </c>
      <c r="P99" s="6">
        <f>'Importe $ (Distribuidores)'!Q102/'Importe $ (Distribuidores)'!Q$131</f>
        <v>7.6028836523334966E-3</v>
      </c>
      <c r="Q99" s="6">
        <f>'Importe $ (Distribuidores)'!R102/'Importe $ (Distribuidores)'!R$131</f>
        <v>0</v>
      </c>
      <c r="R99" s="6">
        <f>'Importe $ (Distribuidores)'!S102/'Importe $ (Distribuidores)'!S$131</f>
        <v>3.3281808190858157E-3</v>
      </c>
      <c r="S99" s="6">
        <f>'Importe $ (Distribuidores)'!T102/'Importe $ (Distribuidores)'!T$131</f>
        <v>1.4852942346768672E-3</v>
      </c>
      <c r="T99" s="6">
        <f>'Importe $ (Distribuidores)'!U102/'Importe $ (Distribuidores)'!U$131</f>
        <v>0</v>
      </c>
      <c r="U99" s="6">
        <f>'Importe $ (Distribuidores)'!V102/'Importe $ (Distribuidores)'!V$131</f>
        <v>2.0728378165586333E-3</v>
      </c>
      <c r="V99" s="7">
        <f t="shared" si="1"/>
        <v>1.4546669149258908E-3</v>
      </c>
      <c r="W99" s="7">
        <v>1.3572507512549078E-3</v>
      </c>
    </row>
    <row r="100" spans="1:23" ht="15" customHeight="1" x14ac:dyDescent="0.25">
      <c r="A100" s="3" t="s">
        <v>125</v>
      </c>
      <c r="B100" s="6">
        <f>'Importe $ (Distribuidores)'!C103/'Importe $ (Distribuidores)'!C$131</f>
        <v>-1.6854860894673825E-4</v>
      </c>
      <c r="C100" s="6">
        <f>'Importe $ (Distribuidores)'!D103/'Importe $ (Distribuidores)'!D$131</f>
        <v>0</v>
      </c>
      <c r="D100" s="6">
        <f>'Importe $ (Distribuidores)'!E103/'Importe $ (Distribuidores)'!E$131</f>
        <v>0</v>
      </c>
      <c r="E100" s="6">
        <f>'Importe $ (Distribuidores)'!F103/'Importe $ (Distribuidores)'!F$131</f>
        <v>4.1282484963502109E-4</v>
      </c>
      <c r="F100" s="6">
        <f>'Importe $ (Distribuidores)'!G103/'Importe $ (Distribuidores)'!G$131</f>
        <v>0</v>
      </c>
      <c r="G100" s="6">
        <f>'Importe $ (Distribuidores)'!H103/'Importe $ (Distribuidores)'!H$131</f>
        <v>0</v>
      </c>
      <c r="H100" s="6">
        <f>'Importe $ (Distribuidores)'!I103/'Importe $ (Distribuidores)'!I$131</f>
        <v>-2.5512485967557673E-4</v>
      </c>
      <c r="I100" s="6">
        <f>'Importe $ (Distribuidores)'!J103/'Importe $ (Distribuidores)'!J$131</f>
        <v>0</v>
      </c>
      <c r="J100" s="6">
        <f>'Importe $ (Distribuidores)'!K103/'Importe $ (Distribuidores)'!K$131</f>
        <v>3.7782265115890185E-3</v>
      </c>
      <c r="K100" s="6">
        <f>'Importe $ (Distribuidores)'!L103/'Importe $ (Distribuidores)'!L$131</f>
        <v>0</v>
      </c>
      <c r="L100" s="6">
        <f>'Importe $ (Distribuidores)'!M103/'Importe $ (Distribuidores)'!M$131</f>
        <v>0</v>
      </c>
      <c r="M100" s="6">
        <f>'Importe $ (Distribuidores)'!N103/'Importe $ (Distribuidores)'!N$131</f>
        <v>0</v>
      </c>
      <c r="N100" s="6">
        <f>'Importe $ (Distribuidores)'!O103/'Importe $ (Distribuidores)'!O$131</f>
        <v>0</v>
      </c>
      <c r="O100" s="6">
        <f>'Importe $ (Distribuidores)'!P103/'Importe $ (Distribuidores)'!P$131</f>
        <v>2.1353248903528085E-3</v>
      </c>
      <c r="P100" s="6">
        <f>'Importe $ (Distribuidores)'!Q103/'Importe $ (Distribuidores)'!Q$131</f>
        <v>-3.9857318136532569E-3</v>
      </c>
      <c r="Q100" s="6">
        <f>'Importe $ (Distribuidores)'!R103/'Importe $ (Distribuidores)'!R$131</f>
        <v>0</v>
      </c>
      <c r="R100" s="6">
        <f>'Importe $ (Distribuidores)'!S103/'Importe $ (Distribuidores)'!S$131</f>
        <v>6.879370619387805E-4</v>
      </c>
      <c r="S100" s="6">
        <f>'Importe $ (Distribuidores)'!T103/'Importe $ (Distribuidores)'!T$131</f>
        <v>8.9883877296913521E-5</v>
      </c>
      <c r="T100" s="6">
        <f>'Importe $ (Distribuidores)'!U103/'Importe $ (Distribuidores)'!U$131</f>
        <v>4.2234816322747675E-3</v>
      </c>
      <c r="U100" s="6">
        <f>'Importe $ (Distribuidores)'!V103/'Importe $ (Distribuidores)'!V$131</f>
        <v>3.2082005629223065E-3</v>
      </c>
      <c r="V100" s="7">
        <f t="shared" si="1"/>
        <v>5.0632370518670226E-4</v>
      </c>
      <c r="W100" s="7">
        <v>2.5859844769002831E-3</v>
      </c>
    </row>
    <row r="101" spans="1:23" ht="15" customHeight="1" x14ac:dyDescent="0.25">
      <c r="A101" s="3" t="s">
        <v>126</v>
      </c>
      <c r="B101" s="6">
        <f>'Importe $ (Distribuidores)'!C104/'Importe $ (Distribuidores)'!C$131</f>
        <v>7.2078380289148604E-3</v>
      </c>
      <c r="C101" s="6">
        <f>'Importe $ (Distribuidores)'!D104/'Importe $ (Distribuidores)'!D$131</f>
        <v>0</v>
      </c>
      <c r="D101" s="6">
        <f>'Importe $ (Distribuidores)'!E104/'Importe $ (Distribuidores)'!E$131</f>
        <v>1.5525091632249756E-2</v>
      </c>
      <c r="E101" s="6">
        <f>'Importe $ (Distribuidores)'!F104/'Importe $ (Distribuidores)'!F$131</f>
        <v>2.3493883982220388E-2</v>
      </c>
      <c r="F101" s="6">
        <f>'Importe $ (Distribuidores)'!G104/'Importe $ (Distribuidores)'!G$131</f>
        <v>0</v>
      </c>
      <c r="G101" s="6">
        <f>'Importe $ (Distribuidores)'!H104/'Importe $ (Distribuidores)'!H$131</f>
        <v>1.6138203612637857E-2</v>
      </c>
      <c r="H101" s="6">
        <f>'Importe $ (Distribuidores)'!I104/'Importe $ (Distribuidores)'!I$131</f>
        <v>2.1855703203958469E-2</v>
      </c>
      <c r="I101" s="6">
        <f>'Importe $ (Distribuidores)'!J104/'Importe $ (Distribuidores)'!J$131</f>
        <v>0</v>
      </c>
      <c r="J101" s="6">
        <f>'Importe $ (Distribuidores)'!K104/'Importe $ (Distribuidores)'!K$131</f>
        <v>1.3120502110152012E-2</v>
      </c>
      <c r="K101" s="6">
        <f>'Importe $ (Distribuidores)'!L104/'Importe $ (Distribuidores)'!L$131</f>
        <v>1.2581702783832487E-2</v>
      </c>
      <c r="L101" s="6">
        <f>'Importe $ (Distribuidores)'!M104/'Importe $ (Distribuidores)'!M$131</f>
        <v>1.940998719262331E-2</v>
      </c>
      <c r="M101" s="6">
        <f>'Importe $ (Distribuidores)'!N104/'Importe $ (Distribuidores)'!N$131</f>
        <v>0</v>
      </c>
      <c r="N101" s="6">
        <f>'Importe $ (Distribuidores)'!O104/'Importe $ (Distribuidores)'!O$131</f>
        <v>6.3042665366304851E-3</v>
      </c>
      <c r="O101" s="6">
        <f>'Importe $ (Distribuidores)'!P104/'Importe $ (Distribuidores)'!P$131</f>
        <v>1.6218723689077563E-2</v>
      </c>
      <c r="P101" s="6">
        <f>'Importe $ (Distribuidores)'!Q104/'Importe $ (Distribuidores)'!Q$131</f>
        <v>0.10994626701701535</v>
      </c>
      <c r="Q101" s="6">
        <f>'Importe $ (Distribuidores)'!R104/'Importe $ (Distribuidores)'!R$131</f>
        <v>0</v>
      </c>
      <c r="R101" s="6">
        <f>'Importe $ (Distribuidores)'!S104/'Importe $ (Distribuidores)'!S$131</f>
        <v>1.3224020775981163E-2</v>
      </c>
      <c r="S101" s="6">
        <f>'Importe $ (Distribuidores)'!T104/'Importe $ (Distribuidores)'!T$131</f>
        <v>1.4423583421113348E-2</v>
      </c>
      <c r="T101" s="6">
        <f>'Importe $ (Distribuidores)'!U104/'Importe $ (Distribuidores)'!U$131</f>
        <v>3.6201271133783713E-3</v>
      </c>
      <c r="U101" s="6">
        <f>'Importe $ (Distribuidores)'!V104/'Importe $ (Distribuidores)'!V$131</f>
        <v>1.0461709268530987E-2</v>
      </c>
      <c r="V101" s="7">
        <f t="shared" si="1"/>
        <v>1.5176580518415819E-2</v>
      </c>
      <c r="W101" s="7">
        <v>9.7772557185858977E-3</v>
      </c>
    </row>
    <row r="102" spans="1:23" ht="15" customHeight="1" x14ac:dyDescent="0.25">
      <c r="A102" s="3" t="s">
        <v>127</v>
      </c>
      <c r="B102" s="6">
        <f>'Importe $ (Distribuidores)'!C105/'Importe $ (Distribuidores)'!C$131</f>
        <v>0</v>
      </c>
      <c r="C102" s="6">
        <f>'Importe $ (Distribuidores)'!D105/'Importe $ (Distribuidores)'!D$131</f>
        <v>0</v>
      </c>
      <c r="D102" s="6">
        <f>'Importe $ (Distribuidores)'!E105/'Importe $ (Distribuidores)'!E$131</f>
        <v>0</v>
      </c>
      <c r="E102" s="6">
        <f>'Importe $ (Distribuidores)'!F105/'Importe $ (Distribuidores)'!F$131</f>
        <v>8.5368646713295526E-3</v>
      </c>
      <c r="F102" s="6">
        <f>'Importe $ (Distribuidores)'!G105/'Importe $ (Distribuidores)'!G$131</f>
        <v>0</v>
      </c>
      <c r="G102" s="6">
        <f>'Importe $ (Distribuidores)'!H105/'Importe $ (Distribuidores)'!H$131</f>
        <v>0</v>
      </c>
      <c r="H102" s="6">
        <f>'Importe $ (Distribuidores)'!I105/'Importe $ (Distribuidores)'!I$131</f>
        <v>2.098177321293776E-3</v>
      </c>
      <c r="I102" s="6">
        <f>'Importe $ (Distribuidores)'!J105/'Importe $ (Distribuidores)'!J$131</f>
        <v>0</v>
      </c>
      <c r="J102" s="6">
        <f>'Importe $ (Distribuidores)'!K105/'Importe $ (Distribuidores)'!K$131</f>
        <v>0</v>
      </c>
      <c r="K102" s="6">
        <f>'Importe $ (Distribuidores)'!L105/'Importe $ (Distribuidores)'!L$131</f>
        <v>0</v>
      </c>
      <c r="L102" s="6">
        <f>'Importe $ (Distribuidores)'!M105/'Importe $ (Distribuidores)'!M$131</f>
        <v>0</v>
      </c>
      <c r="M102" s="6">
        <f>'Importe $ (Distribuidores)'!N105/'Importe $ (Distribuidores)'!N$131</f>
        <v>0</v>
      </c>
      <c r="N102" s="6">
        <f>'Importe $ (Distribuidores)'!O105/'Importe $ (Distribuidores)'!O$131</f>
        <v>0</v>
      </c>
      <c r="O102" s="6">
        <f>'Importe $ (Distribuidores)'!P105/'Importe $ (Distribuidores)'!P$131</f>
        <v>0</v>
      </c>
      <c r="P102" s="6">
        <f>'Importe $ (Distribuidores)'!Q105/'Importe $ (Distribuidores)'!Q$131</f>
        <v>0</v>
      </c>
      <c r="Q102" s="6">
        <f>'Importe $ (Distribuidores)'!R105/'Importe $ (Distribuidores)'!R$131</f>
        <v>0</v>
      </c>
      <c r="R102" s="6">
        <f>'Importe $ (Distribuidores)'!S105/'Importe $ (Distribuidores)'!S$131</f>
        <v>0</v>
      </c>
      <c r="S102" s="6">
        <f>'Importe $ (Distribuidores)'!T105/'Importe $ (Distribuidores)'!T$131</f>
        <v>0</v>
      </c>
      <c r="T102" s="6">
        <f>'Importe $ (Distribuidores)'!U105/'Importe $ (Distribuidores)'!U$131</f>
        <v>0</v>
      </c>
      <c r="U102" s="6">
        <f>'Importe $ (Distribuidores)'!V105/'Importe $ (Distribuidores)'!V$131</f>
        <v>0</v>
      </c>
      <c r="V102" s="7">
        <f t="shared" si="1"/>
        <v>5.3175209963116641E-4</v>
      </c>
      <c r="W102" s="7">
        <v>3.8567181321093953E-4</v>
      </c>
    </row>
    <row r="103" spans="1:23" ht="15" customHeight="1" x14ac:dyDescent="0.25">
      <c r="A103" s="3" t="s">
        <v>128</v>
      </c>
      <c r="B103" s="6">
        <f>'Importe $ (Distribuidores)'!C106/'Importe $ (Distribuidores)'!C$131</f>
        <v>1.2034895391304908E-4</v>
      </c>
      <c r="C103" s="6">
        <f>'Importe $ (Distribuidores)'!D106/'Importe $ (Distribuidores)'!D$131</f>
        <v>0</v>
      </c>
      <c r="D103" s="6">
        <f>'Importe $ (Distribuidores)'!E106/'Importe $ (Distribuidores)'!E$131</f>
        <v>0</v>
      </c>
      <c r="E103" s="6">
        <f>'Importe $ (Distribuidores)'!F106/'Importe $ (Distribuidores)'!F$131</f>
        <v>0</v>
      </c>
      <c r="F103" s="6">
        <f>'Importe $ (Distribuidores)'!G106/'Importe $ (Distribuidores)'!G$131</f>
        <v>0</v>
      </c>
      <c r="G103" s="6">
        <f>'Importe $ (Distribuidores)'!H106/'Importe $ (Distribuidores)'!H$131</f>
        <v>0</v>
      </c>
      <c r="H103" s="6">
        <f>'Importe $ (Distribuidores)'!I106/'Importe $ (Distribuidores)'!I$131</f>
        <v>-2.1990198304319903E-4</v>
      </c>
      <c r="I103" s="6">
        <f>'Importe $ (Distribuidores)'!J106/'Importe $ (Distribuidores)'!J$131</f>
        <v>0</v>
      </c>
      <c r="J103" s="6">
        <f>'Importe $ (Distribuidores)'!K106/'Importe $ (Distribuidores)'!K$131</f>
        <v>3.5339658743951545E-4</v>
      </c>
      <c r="K103" s="6">
        <f>'Importe $ (Distribuidores)'!L106/'Importe $ (Distribuidores)'!L$131</f>
        <v>2.1562016183613512E-3</v>
      </c>
      <c r="L103" s="6">
        <f>'Importe $ (Distribuidores)'!M106/'Importe $ (Distribuidores)'!M$131</f>
        <v>-4.6674795892140116E-4</v>
      </c>
      <c r="M103" s="6">
        <f>'Importe $ (Distribuidores)'!N106/'Importe $ (Distribuidores)'!N$131</f>
        <v>0</v>
      </c>
      <c r="N103" s="6">
        <f>'Importe $ (Distribuidores)'!O106/'Importe $ (Distribuidores)'!O$131</f>
        <v>0</v>
      </c>
      <c r="O103" s="6">
        <f>'Importe $ (Distribuidores)'!P106/'Importe $ (Distribuidores)'!P$131</f>
        <v>0</v>
      </c>
      <c r="P103" s="6">
        <f>'Importe $ (Distribuidores)'!Q106/'Importe $ (Distribuidores)'!Q$131</f>
        <v>0</v>
      </c>
      <c r="Q103" s="6">
        <f>'Importe $ (Distribuidores)'!R106/'Importe $ (Distribuidores)'!R$131</f>
        <v>0</v>
      </c>
      <c r="R103" s="6">
        <f>'Importe $ (Distribuidores)'!S106/'Importe $ (Distribuidores)'!S$131</f>
        <v>1.1346070974156191E-4</v>
      </c>
      <c r="S103" s="6">
        <f>'Importe $ (Distribuidores)'!T106/'Importe $ (Distribuidores)'!T$131</f>
        <v>0</v>
      </c>
      <c r="T103" s="6">
        <f>'Importe $ (Distribuidores)'!U106/'Importe $ (Distribuidores)'!U$131</f>
        <v>0</v>
      </c>
      <c r="U103" s="6">
        <f>'Importe $ (Distribuidores)'!V106/'Importe $ (Distribuidores)'!V$131</f>
        <v>2.0255013760362597E-3</v>
      </c>
      <c r="V103" s="7">
        <f t="shared" si="1"/>
        <v>2.0411296517635686E-4</v>
      </c>
      <c r="W103" s="7">
        <v>5.8331639620371378E-5</v>
      </c>
    </row>
    <row r="104" spans="1:23" ht="15" customHeight="1" x14ac:dyDescent="0.25">
      <c r="A104" s="3" t="s">
        <v>129</v>
      </c>
      <c r="B104" s="6">
        <f>'Importe $ (Distribuidores)'!C107/'Importe $ (Distribuidores)'!C$131</f>
        <v>3.8997462911358246E-3</v>
      </c>
      <c r="C104" s="6">
        <f>'Importe $ (Distribuidores)'!D107/'Importe $ (Distribuidores)'!D$131</f>
        <v>0</v>
      </c>
      <c r="D104" s="6">
        <f>'Importe $ (Distribuidores)'!E107/'Importe $ (Distribuidores)'!E$131</f>
        <v>1.3120460550085009E-3</v>
      </c>
      <c r="E104" s="6">
        <f>'Importe $ (Distribuidores)'!F107/'Importe $ (Distribuidores)'!F$131</f>
        <v>4.0604205335129456E-2</v>
      </c>
      <c r="F104" s="6">
        <f>'Importe $ (Distribuidores)'!G107/'Importe $ (Distribuidores)'!G$131</f>
        <v>0</v>
      </c>
      <c r="G104" s="6">
        <f>'Importe $ (Distribuidores)'!H107/'Importe $ (Distribuidores)'!H$131</f>
        <v>0.256402849947375</v>
      </c>
      <c r="H104" s="6">
        <f>'Importe $ (Distribuidores)'!I107/'Importe $ (Distribuidores)'!I$131</f>
        <v>2.6126232381555994E-2</v>
      </c>
      <c r="I104" s="6">
        <f>'Importe $ (Distribuidores)'!J107/'Importe $ (Distribuidores)'!J$131</f>
        <v>0</v>
      </c>
      <c r="J104" s="6">
        <f>'Importe $ (Distribuidores)'!K107/'Importe $ (Distribuidores)'!K$131</f>
        <v>1.8160653162062414E-2</v>
      </c>
      <c r="K104" s="6">
        <f>'Importe $ (Distribuidores)'!L107/'Importe $ (Distribuidores)'!L$131</f>
        <v>2.2472752972282305E-2</v>
      </c>
      <c r="L104" s="6">
        <f>'Importe $ (Distribuidores)'!M107/'Importe $ (Distribuidores)'!M$131</f>
        <v>5.3184938755474337E-2</v>
      </c>
      <c r="M104" s="6">
        <f>'Importe $ (Distribuidores)'!N107/'Importe $ (Distribuidores)'!N$131</f>
        <v>1</v>
      </c>
      <c r="N104" s="6">
        <f>'Importe $ (Distribuidores)'!O107/'Importe $ (Distribuidores)'!O$131</f>
        <v>0</v>
      </c>
      <c r="O104" s="6">
        <f>'Importe $ (Distribuidores)'!P107/'Importe $ (Distribuidores)'!P$131</f>
        <v>7.8424641675060008E-3</v>
      </c>
      <c r="P104" s="6">
        <f>'Importe $ (Distribuidores)'!Q107/'Importe $ (Distribuidores)'!Q$131</f>
        <v>-3.5063476112075215E-4</v>
      </c>
      <c r="Q104" s="6">
        <f>'Importe $ (Distribuidores)'!R107/'Importe $ (Distribuidores)'!R$131</f>
        <v>0</v>
      </c>
      <c r="R104" s="6">
        <f>'Importe $ (Distribuidores)'!S107/'Importe $ (Distribuidores)'!S$131</f>
        <v>1.5346484661877361E-2</v>
      </c>
      <c r="S104" s="6">
        <f>'Importe $ (Distribuidores)'!T107/'Importe $ (Distribuidores)'!T$131</f>
        <v>-1.8418827314941295E-5</v>
      </c>
      <c r="T104" s="6">
        <f>'Importe $ (Distribuidores)'!U107/'Importe $ (Distribuidores)'!U$131</f>
        <v>5.3852023141486287E-2</v>
      </c>
      <c r="U104" s="6">
        <f>'Importe $ (Distribuidores)'!V107/'Importe $ (Distribuidores)'!V$131</f>
        <v>2.9692295772360044E-2</v>
      </c>
      <c r="V104" s="7">
        <f t="shared" si="1"/>
        <v>7.6426381952740888E-2</v>
      </c>
      <c r="W104" s="7">
        <v>3.3281955953797855E-2</v>
      </c>
    </row>
    <row r="105" spans="1:23" ht="15" customHeight="1" x14ac:dyDescent="0.25">
      <c r="A105" s="3" t="s">
        <v>130</v>
      </c>
      <c r="B105" s="6">
        <f>'Importe $ (Distribuidores)'!C108/'Importe $ (Distribuidores)'!C$131</f>
        <v>0</v>
      </c>
      <c r="C105" s="6">
        <f>'Importe $ (Distribuidores)'!D108/'Importe $ (Distribuidores)'!D$131</f>
        <v>0</v>
      </c>
      <c r="D105" s="6">
        <f>'Importe $ (Distribuidores)'!E108/'Importe $ (Distribuidores)'!E$131</f>
        <v>0</v>
      </c>
      <c r="E105" s="6">
        <f>'Importe $ (Distribuidores)'!F108/'Importe $ (Distribuidores)'!F$131</f>
        <v>0</v>
      </c>
      <c r="F105" s="6">
        <f>'Importe $ (Distribuidores)'!G108/'Importe $ (Distribuidores)'!G$131</f>
        <v>0</v>
      </c>
      <c r="G105" s="6">
        <f>'Importe $ (Distribuidores)'!H108/'Importe $ (Distribuidores)'!H$131</f>
        <v>0</v>
      </c>
      <c r="H105" s="6">
        <f>'Importe $ (Distribuidores)'!I108/'Importe $ (Distribuidores)'!I$131</f>
        <v>4.3079369115125082E-4</v>
      </c>
      <c r="I105" s="6">
        <f>'Importe $ (Distribuidores)'!J108/'Importe $ (Distribuidores)'!J$131</f>
        <v>0</v>
      </c>
      <c r="J105" s="6">
        <f>'Importe $ (Distribuidores)'!K108/'Importe $ (Distribuidores)'!K$131</f>
        <v>0</v>
      </c>
      <c r="K105" s="6">
        <f>'Importe $ (Distribuidores)'!L108/'Importe $ (Distribuidores)'!L$131</f>
        <v>0</v>
      </c>
      <c r="L105" s="6">
        <f>'Importe $ (Distribuidores)'!M108/'Importe $ (Distribuidores)'!M$131</f>
        <v>0</v>
      </c>
      <c r="M105" s="6">
        <f>'Importe $ (Distribuidores)'!N108/'Importe $ (Distribuidores)'!N$131</f>
        <v>0</v>
      </c>
      <c r="N105" s="6">
        <f>'Importe $ (Distribuidores)'!O108/'Importe $ (Distribuidores)'!O$131</f>
        <v>0</v>
      </c>
      <c r="O105" s="6">
        <f>'Importe $ (Distribuidores)'!P108/'Importe $ (Distribuidores)'!P$131</f>
        <v>4.0481214661899142E-4</v>
      </c>
      <c r="P105" s="6">
        <f>'Importe $ (Distribuidores)'!Q108/'Importe $ (Distribuidores)'!Q$131</f>
        <v>0</v>
      </c>
      <c r="Q105" s="6">
        <f>'Importe $ (Distribuidores)'!R108/'Importe $ (Distribuidores)'!R$131</f>
        <v>0</v>
      </c>
      <c r="R105" s="6">
        <f>'Importe $ (Distribuidores)'!S108/'Importe $ (Distribuidores)'!S$131</f>
        <v>0</v>
      </c>
      <c r="S105" s="6">
        <f>'Importe $ (Distribuidores)'!T108/'Importe $ (Distribuidores)'!T$131</f>
        <v>0</v>
      </c>
      <c r="T105" s="6">
        <f>'Importe $ (Distribuidores)'!U108/'Importe $ (Distribuidores)'!U$131</f>
        <v>0</v>
      </c>
      <c r="U105" s="6">
        <f>'Importe $ (Distribuidores)'!V108/'Importe $ (Distribuidores)'!V$131</f>
        <v>0</v>
      </c>
      <c r="V105" s="7">
        <f t="shared" si="1"/>
        <v>4.1780291888512109E-5</v>
      </c>
      <c r="W105" s="7">
        <v>1.4813683355701832E-4</v>
      </c>
    </row>
    <row r="106" spans="1:23" ht="15" customHeight="1" x14ac:dyDescent="0.25">
      <c r="A106" s="3" t="s">
        <v>131</v>
      </c>
      <c r="B106" s="6">
        <f>'Importe $ (Distribuidores)'!C109/'Importe $ (Distribuidores)'!C$131</f>
        <v>0</v>
      </c>
      <c r="C106" s="6">
        <f>'Importe $ (Distribuidores)'!D109/'Importe $ (Distribuidores)'!D$131</f>
        <v>0</v>
      </c>
      <c r="D106" s="6">
        <f>'Importe $ (Distribuidores)'!E109/'Importe $ (Distribuidores)'!E$131</f>
        <v>0</v>
      </c>
      <c r="E106" s="6">
        <f>'Importe $ (Distribuidores)'!F109/'Importe $ (Distribuidores)'!F$131</f>
        <v>0</v>
      </c>
      <c r="F106" s="6">
        <f>'Importe $ (Distribuidores)'!G109/'Importe $ (Distribuidores)'!G$131</f>
        <v>0</v>
      </c>
      <c r="G106" s="6">
        <f>'Importe $ (Distribuidores)'!H109/'Importe $ (Distribuidores)'!H$131</f>
        <v>0</v>
      </c>
      <c r="H106" s="6">
        <f>'Importe $ (Distribuidores)'!I109/'Importe $ (Distribuidores)'!I$131</f>
        <v>0</v>
      </c>
      <c r="I106" s="6">
        <f>'Importe $ (Distribuidores)'!J109/'Importe $ (Distribuidores)'!J$131</f>
        <v>0</v>
      </c>
      <c r="J106" s="6">
        <f>'Importe $ (Distribuidores)'!K109/'Importe $ (Distribuidores)'!K$131</f>
        <v>-1.1011725288307672E-4</v>
      </c>
      <c r="K106" s="6">
        <f>'Importe $ (Distribuidores)'!L109/'Importe $ (Distribuidores)'!L$131</f>
        <v>0</v>
      </c>
      <c r="L106" s="6">
        <f>'Importe $ (Distribuidores)'!M109/'Importe $ (Distribuidores)'!M$131</f>
        <v>0</v>
      </c>
      <c r="M106" s="6">
        <f>'Importe $ (Distribuidores)'!N109/'Importe $ (Distribuidores)'!N$131</f>
        <v>0</v>
      </c>
      <c r="N106" s="6">
        <f>'Importe $ (Distribuidores)'!O109/'Importe $ (Distribuidores)'!O$131</f>
        <v>0</v>
      </c>
      <c r="O106" s="6">
        <f>'Importe $ (Distribuidores)'!P109/'Importe $ (Distribuidores)'!P$131</f>
        <v>0</v>
      </c>
      <c r="P106" s="6">
        <f>'Importe $ (Distribuidores)'!Q109/'Importe $ (Distribuidores)'!Q$131</f>
        <v>0</v>
      </c>
      <c r="Q106" s="6">
        <f>'Importe $ (Distribuidores)'!R109/'Importe $ (Distribuidores)'!R$131</f>
        <v>0</v>
      </c>
      <c r="R106" s="6">
        <f>'Importe $ (Distribuidores)'!S109/'Importe $ (Distribuidores)'!S$131</f>
        <v>0</v>
      </c>
      <c r="S106" s="6">
        <f>'Importe $ (Distribuidores)'!T109/'Importe $ (Distribuidores)'!T$131</f>
        <v>0</v>
      </c>
      <c r="T106" s="6">
        <f>'Importe $ (Distribuidores)'!U109/'Importe $ (Distribuidores)'!U$131</f>
        <v>0</v>
      </c>
      <c r="U106" s="6">
        <f>'Importe $ (Distribuidores)'!V109/'Importe $ (Distribuidores)'!V$131</f>
        <v>0</v>
      </c>
      <c r="V106" s="7">
        <f t="shared" si="1"/>
        <v>-5.5058626441538361E-6</v>
      </c>
      <c r="W106" s="7">
        <v>4.9792486070779547E-4</v>
      </c>
    </row>
    <row r="107" spans="1:23" ht="15" customHeight="1" x14ac:dyDescent="0.25">
      <c r="A107" s="3" t="s">
        <v>132</v>
      </c>
      <c r="B107" s="6">
        <f>'Importe $ (Distribuidores)'!C110/'Importe $ (Distribuidores)'!C$131</f>
        <v>3.5553286160668789E-3</v>
      </c>
      <c r="C107" s="6">
        <f>'Importe $ (Distribuidores)'!D110/'Importe $ (Distribuidores)'!D$131</f>
        <v>0</v>
      </c>
      <c r="D107" s="6">
        <f>'Importe $ (Distribuidores)'!E110/'Importe $ (Distribuidores)'!E$131</f>
        <v>1.9814313127674136E-3</v>
      </c>
      <c r="E107" s="6">
        <f>'Importe $ (Distribuidores)'!F110/'Importe $ (Distribuidores)'!F$131</f>
        <v>9.1744036849837306E-3</v>
      </c>
      <c r="F107" s="6">
        <f>'Importe $ (Distribuidores)'!G110/'Importe $ (Distribuidores)'!G$131</f>
        <v>0</v>
      </c>
      <c r="G107" s="6">
        <f>'Importe $ (Distribuidores)'!H110/'Importe $ (Distribuidores)'!H$131</f>
        <v>0</v>
      </c>
      <c r="H107" s="6">
        <f>'Importe $ (Distribuidores)'!I110/'Importe $ (Distribuidores)'!I$131</f>
        <v>-3.8153180135265387E-3</v>
      </c>
      <c r="I107" s="6">
        <f>'Importe $ (Distribuidores)'!J110/'Importe $ (Distribuidores)'!J$131</f>
        <v>0</v>
      </c>
      <c r="J107" s="6">
        <f>'Importe $ (Distribuidores)'!K110/'Importe $ (Distribuidores)'!K$131</f>
        <v>2.9291751056939783E-3</v>
      </c>
      <c r="K107" s="6">
        <f>'Importe $ (Distribuidores)'!L110/'Importe $ (Distribuidores)'!L$131</f>
        <v>7.1125673252489625E-3</v>
      </c>
      <c r="L107" s="6">
        <f>'Importe $ (Distribuidores)'!M110/'Importe $ (Distribuidores)'!M$131</f>
        <v>-1.4675535797147195E-2</v>
      </c>
      <c r="M107" s="6">
        <f>'Importe $ (Distribuidores)'!N110/'Importe $ (Distribuidores)'!N$131</f>
        <v>0</v>
      </c>
      <c r="N107" s="6">
        <f>'Importe $ (Distribuidores)'!O110/'Importe $ (Distribuidores)'!O$131</f>
        <v>0</v>
      </c>
      <c r="O107" s="6">
        <f>'Importe $ (Distribuidores)'!P110/'Importe $ (Distribuidores)'!P$131</f>
        <v>1.4918077255033201E-3</v>
      </c>
      <c r="P107" s="6">
        <f>'Importe $ (Distribuidores)'!Q110/'Importe $ (Distribuidores)'!Q$131</f>
        <v>5.0491405601388306E-4</v>
      </c>
      <c r="Q107" s="6">
        <f>'Importe $ (Distribuidores)'!R110/'Importe $ (Distribuidores)'!R$131</f>
        <v>0</v>
      </c>
      <c r="R107" s="6">
        <f>'Importe $ (Distribuidores)'!S110/'Importe $ (Distribuidores)'!S$131</f>
        <v>3.5536117858958158E-3</v>
      </c>
      <c r="S107" s="6">
        <f>'Importe $ (Distribuidores)'!T110/'Importe $ (Distribuidores)'!T$131</f>
        <v>1.1083924025922674E-2</v>
      </c>
      <c r="T107" s="6">
        <f>'Importe $ (Distribuidores)'!U110/'Importe $ (Distribuidores)'!U$131</f>
        <v>0</v>
      </c>
      <c r="U107" s="6">
        <f>'Importe $ (Distribuidores)'!V110/'Importe $ (Distribuidores)'!V$131</f>
        <v>8.5369420812573017E-3</v>
      </c>
      <c r="V107" s="7">
        <f t="shared" si="1"/>
        <v>1.5716625954340113E-3</v>
      </c>
      <c r="W107" s="7">
        <v>4.9337605188545597E-3</v>
      </c>
    </row>
    <row r="108" spans="1:23" ht="15" customHeight="1" x14ac:dyDescent="0.25">
      <c r="A108" s="3" t="s">
        <v>133</v>
      </c>
      <c r="B108" s="6">
        <f>'Importe $ (Distribuidores)'!C111/'Importe $ (Distribuidores)'!C$131</f>
        <v>2.4422868606363466E-3</v>
      </c>
      <c r="C108" s="6">
        <f>'Importe $ (Distribuidores)'!D111/'Importe $ (Distribuidores)'!D$131</f>
        <v>0</v>
      </c>
      <c r="D108" s="6">
        <f>'Importe $ (Distribuidores)'!E111/'Importe $ (Distribuidores)'!E$131</f>
        <v>4.5082209922467304E-3</v>
      </c>
      <c r="E108" s="6">
        <f>'Importe $ (Distribuidores)'!F111/'Importe $ (Distribuidores)'!F$131</f>
        <v>2.2143541898101177E-3</v>
      </c>
      <c r="F108" s="6">
        <f>'Importe $ (Distribuidores)'!G111/'Importe $ (Distribuidores)'!G$131</f>
        <v>0</v>
      </c>
      <c r="G108" s="6">
        <f>'Importe $ (Distribuidores)'!H111/'Importe $ (Distribuidores)'!H$131</f>
        <v>0</v>
      </c>
      <c r="H108" s="6">
        <f>'Importe $ (Distribuidores)'!I111/'Importe $ (Distribuidores)'!I$131</f>
        <v>-1.5633333556160862E-4</v>
      </c>
      <c r="I108" s="6">
        <f>'Importe $ (Distribuidores)'!J111/'Importe $ (Distribuidores)'!J$131</f>
        <v>0</v>
      </c>
      <c r="J108" s="6">
        <f>'Importe $ (Distribuidores)'!K111/'Importe $ (Distribuidores)'!K$131</f>
        <v>2.8839802863226444E-3</v>
      </c>
      <c r="K108" s="6">
        <f>'Importe $ (Distribuidores)'!L111/'Importe $ (Distribuidores)'!L$131</f>
        <v>3.0748840121493952E-3</v>
      </c>
      <c r="L108" s="6">
        <f>'Importe $ (Distribuidores)'!M111/'Importe $ (Distribuidores)'!M$131</f>
        <v>-7.0537810909067605E-4</v>
      </c>
      <c r="M108" s="6">
        <f>'Importe $ (Distribuidores)'!N111/'Importe $ (Distribuidores)'!N$131</f>
        <v>0</v>
      </c>
      <c r="N108" s="6">
        <f>'Importe $ (Distribuidores)'!O111/'Importe $ (Distribuidores)'!O$131</f>
        <v>0</v>
      </c>
      <c r="O108" s="6">
        <f>'Importe $ (Distribuidores)'!P111/'Importe $ (Distribuidores)'!P$131</f>
        <v>2.8350762126042634E-3</v>
      </c>
      <c r="P108" s="6">
        <f>'Importe $ (Distribuidores)'!Q111/'Importe $ (Distribuidores)'!Q$131</f>
        <v>2.7103247368958795E-3</v>
      </c>
      <c r="Q108" s="6">
        <f>'Importe $ (Distribuidores)'!R111/'Importe $ (Distribuidores)'!R$131</f>
        <v>0</v>
      </c>
      <c r="R108" s="6">
        <f>'Importe $ (Distribuidores)'!S111/'Importe $ (Distribuidores)'!S$131</f>
        <v>1.5747564024475402E-3</v>
      </c>
      <c r="S108" s="6">
        <f>'Importe $ (Distribuidores)'!T111/'Importe $ (Distribuidores)'!T$131</f>
        <v>1.6924271041386058E-4</v>
      </c>
      <c r="T108" s="6">
        <f>'Importe $ (Distribuidores)'!U111/'Importe $ (Distribuidores)'!U$131</f>
        <v>3.1534905083282241E-4</v>
      </c>
      <c r="U108" s="6">
        <f>'Importe $ (Distribuidores)'!V111/'Importe $ (Distribuidores)'!V$131</f>
        <v>1.1033305685665797E-3</v>
      </c>
      <c r="V108" s="7">
        <f t="shared" si="1"/>
        <v>1.1485047289136949E-3</v>
      </c>
      <c r="W108" s="7">
        <v>8.5902477867569142E-4</v>
      </c>
    </row>
    <row r="109" spans="1:23" ht="15" customHeight="1" x14ac:dyDescent="0.25">
      <c r="A109" s="3" t="s">
        <v>134</v>
      </c>
      <c r="B109" s="6">
        <f>'Importe $ (Distribuidores)'!C112/'Importe $ (Distribuidores)'!C$131</f>
        <v>0</v>
      </c>
      <c r="C109" s="6">
        <f>'Importe $ (Distribuidores)'!D112/'Importe $ (Distribuidores)'!D$131</f>
        <v>0</v>
      </c>
      <c r="D109" s="6">
        <f>'Importe $ (Distribuidores)'!E112/'Importe $ (Distribuidores)'!E$131</f>
        <v>0</v>
      </c>
      <c r="E109" s="6">
        <f>'Importe $ (Distribuidores)'!F112/'Importe $ (Distribuidores)'!F$131</f>
        <v>0</v>
      </c>
      <c r="F109" s="6">
        <f>'Importe $ (Distribuidores)'!G112/'Importe $ (Distribuidores)'!G$131</f>
        <v>0</v>
      </c>
      <c r="G109" s="6">
        <f>'Importe $ (Distribuidores)'!H112/'Importe $ (Distribuidores)'!H$131</f>
        <v>0</v>
      </c>
      <c r="H109" s="6">
        <f>'Importe $ (Distribuidores)'!I112/'Importe $ (Distribuidores)'!I$131</f>
        <v>-4.8157831327883736E-5</v>
      </c>
      <c r="I109" s="6">
        <f>'Importe $ (Distribuidores)'!J112/'Importe $ (Distribuidores)'!J$131</f>
        <v>0</v>
      </c>
      <c r="J109" s="6">
        <f>'Importe $ (Distribuidores)'!K112/'Importe $ (Distribuidores)'!K$131</f>
        <v>4.0686317044131037E-5</v>
      </c>
      <c r="K109" s="6">
        <f>'Importe $ (Distribuidores)'!L112/'Importe $ (Distribuidores)'!L$131</f>
        <v>0</v>
      </c>
      <c r="L109" s="6">
        <f>'Importe $ (Distribuidores)'!M112/'Importe $ (Distribuidores)'!M$131</f>
        <v>0</v>
      </c>
      <c r="M109" s="6">
        <f>'Importe $ (Distribuidores)'!N112/'Importe $ (Distribuidores)'!N$131</f>
        <v>0</v>
      </c>
      <c r="N109" s="6">
        <f>'Importe $ (Distribuidores)'!O112/'Importe $ (Distribuidores)'!O$131</f>
        <v>0</v>
      </c>
      <c r="O109" s="6">
        <f>'Importe $ (Distribuidores)'!P112/'Importe $ (Distribuidores)'!P$131</f>
        <v>0</v>
      </c>
      <c r="P109" s="6">
        <f>'Importe $ (Distribuidores)'!Q112/'Importe $ (Distribuidores)'!Q$131</f>
        <v>0</v>
      </c>
      <c r="Q109" s="6">
        <f>'Importe $ (Distribuidores)'!R112/'Importe $ (Distribuidores)'!R$131</f>
        <v>0</v>
      </c>
      <c r="R109" s="6">
        <f>'Importe $ (Distribuidores)'!S112/'Importe $ (Distribuidores)'!S$131</f>
        <v>0</v>
      </c>
      <c r="S109" s="6">
        <f>'Importe $ (Distribuidores)'!T112/'Importe $ (Distribuidores)'!T$131</f>
        <v>0</v>
      </c>
      <c r="T109" s="6">
        <f>'Importe $ (Distribuidores)'!U112/'Importe $ (Distribuidores)'!U$131</f>
        <v>0</v>
      </c>
      <c r="U109" s="6">
        <f>'Importe $ (Distribuidores)'!V112/'Importe $ (Distribuidores)'!V$131</f>
        <v>0</v>
      </c>
      <c r="V109" s="7">
        <f t="shared" si="1"/>
        <v>-3.7357571418763495E-7</v>
      </c>
      <c r="W109" s="7">
        <v>-1.2644511346376006E-6</v>
      </c>
    </row>
    <row r="110" spans="1:23" ht="15" customHeight="1" x14ac:dyDescent="0.25">
      <c r="A110" s="3" t="s">
        <v>135</v>
      </c>
      <c r="B110" s="6">
        <f>'Importe $ (Distribuidores)'!C113/'Importe $ (Distribuidores)'!C$131</f>
        <v>6.6314729707190297E-3</v>
      </c>
      <c r="C110" s="6">
        <f>'Importe $ (Distribuidores)'!D113/'Importe $ (Distribuidores)'!D$131</f>
        <v>0</v>
      </c>
      <c r="D110" s="6">
        <f>'Importe $ (Distribuidores)'!E113/'Importe $ (Distribuidores)'!E$131</f>
        <v>7.5421022713421297E-4</v>
      </c>
      <c r="E110" s="6">
        <f>'Importe $ (Distribuidores)'!F113/'Importe $ (Distribuidores)'!F$131</f>
        <v>5.7259357115737449E-3</v>
      </c>
      <c r="F110" s="6">
        <f>'Importe $ (Distribuidores)'!G113/'Importe $ (Distribuidores)'!G$131</f>
        <v>0</v>
      </c>
      <c r="G110" s="6">
        <f>'Importe $ (Distribuidores)'!H113/'Importe $ (Distribuidores)'!H$131</f>
        <v>0</v>
      </c>
      <c r="H110" s="6">
        <f>'Importe $ (Distribuidores)'!I113/'Importe $ (Distribuidores)'!I$131</f>
        <v>1.0624465276273835E-2</v>
      </c>
      <c r="I110" s="6">
        <f>'Importe $ (Distribuidores)'!J113/'Importe $ (Distribuidores)'!J$131</f>
        <v>0</v>
      </c>
      <c r="J110" s="6">
        <f>'Importe $ (Distribuidores)'!K113/'Importe $ (Distribuidores)'!K$131</f>
        <v>3.831101110622129E-3</v>
      </c>
      <c r="K110" s="6">
        <f>'Importe $ (Distribuidores)'!L113/'Importe $ (Distribuidores)'!L$131</f>
        <v>1.8759648881554181E-3</v>
      </c>
      <c r="L110" s="6">
        <f>'Importe $ (Distribuidores)'!M113/'Importe $ (Distribuidores)'!M$131</f>
        <v>6.2443308017863138E-3</v>
      </c>
      <c r="M110" s="6">
        <f>'Importe $ (Distribuidores)'!N113/'Importe $ (Distribuidores)'!N$131</f>
        <v>0</v>
      </c>
      <c r="N110" s="6">
        <f>'Importe $ (Distribuidores)'!O113/'Importe $ (Distribuidores)'!O$131</f>
        <v>1.9458239169398723E-2</v>
      </c>
      <c r="O110" s="6">
        <f>'Importe $ (Distribuidores)'!P113/'Importe $ (Distribuidores)'!P$131</f>
        <v>4.9678262554383257E-3</v>
      </c>
      <c r="P110" s="6">
        <f>'Importe $ (Distribuidores)'!Q113/'Importe $ (Distribuidores)'!Q$131</f>
        <v>6.3619171057749269E-3</v>
      </c>
      <c r="Q110" s="6">
        <f>'Importe $ (Distribuidores)'!R113/'Importe $ (Distribuidores)'!R$131</f>
        <v>0</v>
      </c>
      <c r="R110" s="6">
        <f>'Importe $ (Distribuidores)'!S113/'Importe $ (Distribuidores)'!S$131</f>
        <v>3.0181666630760311E-4</v>
      </c>
      <c r="S110" s="6">
        <f>'Importe $ (Distribuidores)'!T113/'Importe $ (Distribuidores)'!T$131</f>
        <v>6.8723275973090973E-3</v>
      </c>
      <c r="T110" s="6">
        <f>'Importe $ (Distribuidores)'!U113/'Importe $ (Distribuidores)'!U$131</f>
        <v>0</v>
      </c>
      <c r="U110" s="6">
        <f>'Importe $ (Distribuidores)'!V113/'Importe $ (Distribuidores)'!V$131</f>
        <v>3.6516682688687448E-3</v>
      </c>
      <c r="V110" s="7">
        <f t="shared" si="1"/>
        <v>3.8650638024681056E-3</v>
      </c>
      <c r="W110" s="7">
        <v>1.0497557456105089E-2</v>
      </c>
    </row>
    <row r="111" spans="1:23" ht="15" customHeight="1" x14ac:dyDescent="0.25">
      <c r="A111" s="3" t="s">
        <v>136</v>
      </c>
      <c r="B111" s="6">
        <f>'Importe $ (Distribuidores)'!C114/'Importe $ (Distribuidores)'!C$131</f>
        <v>1.8685198470459314E-2</v>
      </c>
      <c r="C111" s="6">
        <f>'Importe $ (Distribuidores)'!D114/'Importe $ (Distribuidores)'!D$131</f>
        <v>0</v>
      </c>
      <c r="D111" s="6">
        <f>'Importe $ (Distribuidores)'!E114/'Importe $ (Distribuidores)'!E$131</f>
        <v>1.9015803983345729E-2</v>
      </c>
      <c r="E111" s="6">
        <f>'Importe $ (Distribuidores)'!F114/'Importe $ (Distribuidores)'!F$131</f>
        <v>2.545285959951582E-2</v>
      </c>
      <c r="F111" s="6">
        <f>'Importe $ (Distribuidores)'!G114/'Importe $ (Distribuidores)'!G$131</f>
        <v>0</v>
      </c>
      <c r="G111" s="6">
        <f>'Importe $ (Distribuidores)'!H114/'Importe $ (Distribuidores)'!H$131</f>
        <v>0</v>
      </c>
      <c r="H111" s="6">
        <f>'Importe $ (Distribuidores)'!I114/'Importe $ (Distribuidores)'!I$131</f>
        <v>3.9241253534693467E-2</v>
      </c>
      <c r="I111" s="6">
        <f>'Importe $ (Distribuidores)'!J114/'Importe $ (Distribuidores)'!J$131</f>
        <v>0</v>
      </c>
      <c r="J111" s="6">
        <f>'Importe $ (Distribuidores)'!K114/'Importe $ (Distribuidores)'!K$131</f>
        <v>1.8287508372798918E-2</v>
      </c>
      <c r="K111" s="6">
        <f>'Importe $ (Distribuidores)'!L114/'Importe $ (Distribuidores)'!L$131</f>
        <v>2.140909210981835E-2</v>
      </c>
      <c r="L111" s="6">
        <f>'Importe $ (Distribuidores)'!M114/'Importe $ (Distribuidores)'!M$131</f>
        <v>4.1779724111244837E-2</v>
      </c>
      <c r="M111" s="6">
        <f>'Importe $ (Distribuidores)'!N114/'Importe $ (Distribuidores)'!N$131</f>
        <v>0</v>
      </c>
      <c r="N111" s="6">
        <f>'Importe $ (Distribuidores)'!O114/'Importe $ (Distribuidores)'!O$131</f>
        <v>1.4419617915552536E-2</v>
      </c>
      <c r="O111" s="6">
        <f>'Importe $ (Distribuidores)'!P114/'Importe $ (Distribuidores)'!P$131</f>
        <v>2.018339703732408E-2</v>
      </c>
      <c r="P111" s="6">
        <f>'Importe $ (Distribuidores)'!Q114/'Importe $ (Distribuidores)'!Q$131</f>
        <v>1.7660771648130048E-2</v>
      </c>
      <c r="Q111" s="6">
        <f>'Importe $ (Distribuidores)'!R114/'Importe $ (Distribuidores)'!R$131</f>
        <v>0</v>
      </c>
      <c r="R111" s="6">
        <f>'Importe $ (Distribuidores)'!S114/'Importe $ (Distribuidores)'!S$131</f>
        <v>1.4515704890138446E-2</v>
      </c>
      <c r="S111" s="6">
        <f>'Importe $ (Distribuidores)'!T114/'Importe $ (Distribuidores)'!T$131</f>
        <v>7.5612451842421158E-2</v>
      </c>
      <c r="T111" s="6">
        <f>'Importe $ (Distribuidores)'!U114/'Importe $ (Distribuidores)'!U$131</f>
        <v>-4.9462500663694084E-3</v>
      </c>
      <c r="U111" s="6">
        <f>'Importe $ (Distribuidores)'!V114/'Importe $ (Distribuidores)'!V$131</f>
        <v>1.3725076359881617E-2</v>
      </c>
      <c r="V111" s="7">
        <f t="shared" si="1"/>
        <v>1.6752110490447746E-2</v>
      </c>
      <c r="W111" s="7">
        <v>2.0712435388918368E-2</v>
      </c>
    </row>
    <row r="112" spans="1:23" ht="15" customHeight="1" x14ac:dyDescent="0.25">
      <c r="A112" s="3" t="s">
        <v>137</v>
      </c>
      <c r="B112" s="6">
        <f>'Importe $ (Distribuidores)'!C115/'Importe $ (Distribuidores)'!C$131</f>
        <v>0</v>
      </c>
      <c r="C112" s="6">
        <f>'Importe $ (Distribuidores)'!D115/'Importe $ (Distribuidores)'!D$131</f>
        <v>0</v>
      </c>
      <c r="D112" s="6">
        <f>'Importe $ (Distribuidores)'!E115/'Importe $ (Distribuidores)'!E$131</f>
        <v>6.4247537866988515E-4</v>
      </c>
      <c r="E112" s="6">
        <f>'Importe $ (Distribuidores)'!F115/'Importe $ (Distribuidores)'!F$131</f>
        <v>0</v>
      </c>
      <c r="F112" s="6">
        <f>'Importe $ (Distribuidores)'!G115/'Importe $ (Distribuidores)'!G$131</f>
        <v>0</v>
      </c>
      <c r="G112" s="6">
        <f>'Importe $ (Distribuidores)'!H115/'Importe $ (Distribuidores)'!H$131</f>
        <v>0</v>
      </c>
      <c r="H112" s="6">
        <f>'Importe $ (Distribuidores)'!I115/'Importe $ (Distribuidores)'!I$131</f>
        <v>0</v>
      </c>
      <c r="I112" s="6">
        <f>'Importe $ (Distribuidores)'!J115/'Importe $ (Distribuidores)'!J$131</f>
        <v>0</v>
      </c>
      <c r="J112" s="6">
        <f>'Importe $ (Distribuidores)'!K115/'Importe $ (Distribuidores)'!K$131</f>
        <v>0</v>
      </c>
      <c r="K112" s="6">
        <f>'Importe $ (Distribuidores)'!L115/'Importe $ (Distribuidores)'!L$131</f>
        <v>0</v>
      </c>
      <c r="L112" s="6">
        <f>'Importe $ (Distribuidores)'!M115/'Importe $ (Distribuidores)'!M$131</f>
        <v>0</v>
      </c>
      <c r="M112" s="6">
        <f>'Importe $ (Distribuidores)'!N115/'Importe $ (Distribuidores)'!N$131</f>
        <v>0</v>
      </c>
      <c r="N112" s="6">
        <f>'Importe $ (Distribuidores)'!O115/'Importe $ (Distribuidores)'!O$131</f>
        <v>9.7248913710597706E-4</v>
      </c>
      <c r="O112" s="6">
        <f>'Importe $ (Distribuidores)'!P115/'Importe $ (Distribuidores)'!P$131</f>
        <v>0</v>
      </c>
      <c r="P112" s="6">
        <f>'Importe $ (Distribuidores)'!Q115/'Importe $ (Distribuidores)'!Q$131</f>
        <v>0</v>
      </c>
      <c r="Q112" s="6">
        <f>'Importe $ (Distribuidores)'!R115/'Importe $ (Distribuidores)'!R$131</f>
        <v>0</v>
      </c>
      <c r="R112" s="6">
        <f>'Importe $ (Distribuidores)'!S115/'Importe $ (Distribuidores)'!S$131</f>
        <v>3.8565462917082631E-4</v>
      </c>
      <c r="S112" s="6">
        <f>'Importe $ (Distribuidores)'!T115/'Importe $ (Distribuidores)'!T$131</f>
        <v>0</v>
      </c>
      <c r="T112" s="6">
        <f>'Importe $ (Distribuidores)'!U115/'Importe $ (Distribuidores)'!U$131</f>
        <v>0</v>
      </c>
      <c r="U112" s="6">
        <f>'Importe $ (Distribuidores)'!V115/'Importe $ (Distribuidores)'!V$131</f>
        <v>0</v>
      </c>
      <c r="V112" s="7">
        <f t="shared" si="1"/>
        <v>1.0003095724733441E-4</v>
      </c>
      <c r="W112" s="7">
        <v>4.6536247711544869E-3</v>
      </c>
    </row>
    <row r="113" spans="1:23" ht="15" customHeight="1" x14ac:dyDescent="0.25">
      <c r="A113" s="3" t="s">
        <v>138</v>
      </c>
      <c r="B113" s="6">
        <f>'Importe $ (Distribuidores)'!C116/'Importe $ (Distribuidores)'!C$131</f>
        <v>4.0285985647672195E-3</v>
      </c>
      <c r="C113" s="6">
        <f>'Importe $ (Distribuidores)'!D116/'Importe $ (Distribuidores)'!D$131</f>
        <v>0</v>
      </c>
      <c r="D113" s="6">
        <f>'Importe $ (Distribuidores)'!E116/'Importe $ (Distribuidores)'!E$131</f>
        <v>8.6973325779864091E-3</v>
      </c>
      <c r="E113" s="6">
        <f>'Importe $ (Distribuidores)'!F116/'Importe $ (Distribuidores)'!F$131</f>
        <v>6.7213112131463311E-3</v>
      </c>
      <c r="F113" s="6">
        <f>'Importe $ (Distribuidores)'!G116/'Importe $ (Distribuidores)'!G$131</f>
        <v>4.0567588338155085E-3</v>
      </c>
      <c r="G113" s="6">
        <f>'Importe $ (Distribuidores)'!H116/'Importe $ (Distribuidores)'!H$131</f>
        <v>0</v>
      </c>
      <c r="H113" s="6">
        <f>'Importe $ (Distribuidores)'!I116/'Importe $ (Distribuidores)'!I$131</f>
        <v>3.351585027355085E-3</v>
      </c>
      <c r="I113" s="6">
        <f>'Importe $ (Distribuidores)'!J116/'Importe $ (Distribuidores)'!J$131</f>
        <v>0</v>
      </c>
      <c r="J113" s="6">
        <f>'Importe $ (Distribuidores)'!K116/'Importe $ (Distribuidores)'!K$131</f>
        <v>3.4735656677230276E-3</v>
      </c>
      <c r="K113" s="6">
        <f>'Importe $ (Distribuidores)'!L116/'Importe $ (Distribuidores)'!L$131</f>
        <v>3.9209982168482991E-3</v>
      </c>
      <c r="L113" s="6">
        <f>'Importe $ (Distribuidores)'!M116/'Importe $ (Distribuidores)'!M$131</f>
        <v>1.8407642264693908E-2</v>
      </c>
      <c r="M113" s="6">
        <f>'Importe $ (Distribuidores)'!N116/'Importe $ (Distribuidores)'!N$131</f>
        <v>0</v>
      </c>
      <c r="N113" s="6">
        <f>'Importe $ (Distribuidores)'!O116/'Importe $ (Distribuidores)'!O$131</f>
        <v>0</v>
      </c>
      <c r="O113" s="6">
        <f>'Importe $ (Distribuidores)'!P116/'Importe $ (Distribuidores)'!P$131</f>
        <v>1.4650767089989958E-3</v>
      </c>
      <c r="P113" s="6">
        <f>'Importe $ (Distribuidores)'!Q116/'Importe $ (Distribuidores)'!Q$131</f>
        <v>1.5296928699599824E-2</v>
      </c>
      <c r="Q113" s="6">
        <f>'Importe $ (Distribuidores)'!R116/'Importe $ (Distribuidores)'!R$131</f>
        <v>2.1528534915726823E-2</v>
      </c>
      <c r="R113" s="6">
        <f>'Importe $ (Distribuidores)'!S116/'Importe $ (Distribuidores)'!S$131</f>
        <v>5.7695422976628708E-3</v>
      </c>
      <c r="S113" s="6">
        <f>'Importe $ (Distribuidores)'!T116/'Importe $ (Distribuidores)'!T$131</f>
        <v>2.6371550697323943E-3</v>
      </c>
      <c r="T113" s="6">
        <f>'Importe $ (Distribuidores)'!U116/'Importe $ (Distribuidores)'!U$131</f>
        <v>9.5531132158595917E-4</v>
      </c>
      <c r="U113" s="6">
        <f>'Importe $ (Distribuidores)'!V116/'Importe $ (Distribuidores)'!V$131</f>
        <v>1.1498909336701744E-2</v>
      </c>
      <c r="V113" s="7">
        <f t="shared" si="1"/>
        <v>5.5904625358172196E-3</v>
      </c>
      <c r="W113" s="7">
        <v>3.7249115504401423E-3</v>
      </c>
    </row>
    <row r="114" spans="1:23" ht="15" customHeight="1" x14ac:dyDescent="0.25">
      <c r="A114" s="3" t="s">
        <v>139</v>
      </c>
      <c r="B114" s="6">
        <f>'Importe $ (Distribuidores)'!C117/'Importe $ (Distribuidores)'!C$131</f>
        <v>0</v>
      </c>
      <c r="C114" s="6">
        <f>'Importe $ (Distribuidores)'!D117/'Importe $ (Distribuidores)'!D$131</f>
        <v>0</v>
      </c>
      <c r="D114" s="6">
        <f>'Importe $ (Distribuidores)'!E117/'Importe $ (Distribuidores)'!E$131</f>
        <v>0</v>
      </c>
      <c r="E114" s="6">
        <f>'Importe $ (Distribuidores)'!F117/'Importe $ (Distribuidores)'!F$131</f>
        <v>0</v>
      </c>
      <c r="F114" s="6">
        <f>'Importe $ (Distribuidores)'!G117/'Importe $ (Distribuidores)'!G$131</f>
        <v>0</v>
      </c>
      <c r="G114" s="6">
        <f>'Importe $ (Distribuidores)'!H117/'Importe $ (Distribuidores)'!H$131</f>
        <v>0</v>
      </c>
      <c r="H114" s="6">
        <f>'Importe $ (Distribuidores)'!I117/'Importe $ (Distribuidores)'!I$131</f>
        <v>1.1470319825368673E-4</v>
      </c>
      <c r="I114" s="6">
        <f>'Importe $ (Distribuidores)'!J117/'Importe $ (Distribuidores)'!J$131</f>
        <v>0</v>
      </c>
      <c r="J114" s="6">
        <f>'Importe $ (Distribuidores)'!K117/'Importe $ (Distribuidores)'!K$131</f>
        <v>2.768783133912294E-5</v>
      </c>
      <c r="K114" s="6">
        <f>'Importe $ (Distribuidores)'!L117/'Importe $ (Distribuidores)'!L$131</f>
        <v>0</v>
      </c>
      <c r="L114" s="6">
        <f>'Importe $ (Distribuidores)'!M117/'Importe $ (Distribuidores)'!M$131</f>
        <v>0</v>
      </c>
      <c r="M114" s="6">
        <f>'Importe $ (Distribuidores)'!N117/'Importe $ (Distribuidores)'!N$131</f>
        <v>0</v>
      </c>
      <c r="N114" s="6">
        <f>'Importe $ (Distribuidores)'!O117/'Importe $ (Distribuidores)'!O$131</f>
        <v>0</v>
      </c>
      <c r="O114" s="6">
        <f>'Importe $ (Distribuidores)'!P117/'Importe $ (Distribuidores)'!P$131</f>
        <v>0</v>
      </c>
      <c r="P114" s="6">
        <f>'Importe $ (Distribuidores)'!Q117/'Importe $ (Distribuidores)'!Q$131</f>
        <v>0</v>
      </c>
      <c r="Q114" s="6">
        <f>'Importe $ (Distribuidores)'!R117/'Importe $ (Distribuidores)'!R$131</f>
        <v>0</v>
      </c>
      <c r="R114" s="6">
        <f>'Importe $ (Distribuidores)'!S117/'Importe $ (Distribuidores)'!S$131</f>
        <v>0</v>
      </c>
      <c r="S114" s="6">
        <f>'Importe $ (Distribuidores)'!T117/'Importe $ (Distribuidores)'!T$131</f>
        <v>0</v>
      </c>
      <c r="T114" s="6">
        <f>'Importe $ (Distribuidores)'!U117/'Importe $ (Distribuidores)'!U$131</f>
        <v>0</v>
      </c>
      <c r="U114" s="6">
        <f>'Importe $ (Distribuidores)'!V117/'Importe $ (Distribuidores)'!V$131</f>
        <v>0</v>
      </c>
      <c r="V114" s="7">
        <f t="shared" si="1"/>
        <v>7.1195514796404834E-6</v>
      </c>
      <c r="W114" s="7">
        <v>5.1097299319707368E-5</v>
      </c>
    </row>
    <row r="115" spans="1:23" ht="15" customHeight="1" x14ac:dyDescent="0.25">
      <c r="A115" s="3" t="s">
        <v>140</v>
      </c>
      <c r="B115" s="6">
        <f>'Importe $ (Distribuidores)'!C118/'Importe $ (Distribuidores)'!C$131</f>
        <v>0</v>
      </c>
      <c r="C115" s="6">
        <f>'Importe $ (Distribuidores)'!D118/'Importe $ (Distribuidores)'!D$131</f>
        <v>7.1564119666174805E-2</v>
      </c>
      <c r="D115" s="6">
        <f>'Importe $ (Distribuidores)'!E118/'Importe $ (Distribuidores)'!E$131</f>
        <v>2.793371211608196E-4</v>
      </c>
      <c r="E115" s="6">
        <f>'Importe $ (Distribuidores)'!F118/'Importe $ (Distribuidores)'!F$131</f>
        <v>9.179052587641439E-4</v>
      </c>
      <c r="F115" s="6">
        <f>'Importe $ (Distribuidores)'!G118/'Importe $ (Distribuidores)'!G$131</f>
        <v>0</v>
      </c>
      <c r="G115" s="6">
        <f>'Importe $ (Distribuidores)'!H118/'Importe $ (Distribuidores)'!H$131</f>
        <v>0</v>
      </c>
      <c r="H115" s="6">
        <f>'Importe $ (Distribuidores)'!I118/'Importe $ (Distribuidores)'!I$131</f>
        <v>7.658464399714471E-3</v>
      </c>
      <c r="I115" s="6">
        <f>'Importe $ (Distribuidores)'!J118/'Importe $ (Distribuidores)'!J$131</f>
        <v>0</v>
      </c>
      <c r="J115" s="6">
        <f>'Importe $ (Distribuidores)'!K118/'Importe $ (Distribuidores)'!K$131</f>
        <v>4.8213567049799734E-3</v>
      </c>
      <c r="K115" s="6">
        <f>'Importe $ (Distribuidores)'!L118/'Importe $ (Distribuidores)'!L$131</f>
        <v>9.7494204038241754E-3</v>
      </c>
      <c r="L115" s="6">
        <f>'Importe $ (Distribuidores)'!M118/'Importe $ (Distribuidores)'!M$131</f>
        <v>7.5646808837801869E-3</v>
      </c>
      <c r="M115" s="6">
        <f>'Importe $ (Distribuidores)'!N118/'Importe $ (Distribuidores)'!N$131</f>
        <v>0</v>
      </c>
      <c r="N115" s="6">
        <f>'Importe $ (Distribuidores)'!O118/'Importe $ (Distribuidores)'!O$131</f>
        <v>0</v>
      </c>
      <c r="O115" s="6">
        <f>'Importe $ (Distribuidores)'!P118/'Importe $ (Distribuidores)'!P$131</f>
        <v>7.6681777349348174E-5</v>
      </c>
      <c r="P115" s="6">
        <f>'Importe $ (Distribuidores)'!Q118/'Importe $ (Distribuidores)'!Q$131</f>
        <v>3.1192468349302113E-3</v>
      </c>
      <c r="Q115" s="6">
        <f>'Importe $ (Distribuidores)'!R118/'Importe $ (Distribuidores)'!R$131</f>
        <v>0</v>
      </c>
      <c r="R115" s="6">
        <f>'Importe $ (Distribuidores)'!S118/'Importe $ (Distribuidores)'!S$131</f>
        <v>0</v>
      </c>
      <c r="S115" s="6">
        <f>'Importe $ (Distribuidores)'!T118/'Importe $ (Distribuidores)'!T$131</f>
        <v>0</v>
      </c>
      <c r="T115" s="6">
        <f>'Importe $ (Distribuidores)'!U118/'Importe $ (Distribuidores)'!U$131</f>
        <v>0</v>
      </c>
      <c r="U115" s="6">
        <f>'Importe $ (Distribuidores)'!V118/'Importe $ (Distribuidores)'!V$131</f>
        <v>1.0149454853857086E-3</v>
      </c>
      <c r="V115" s="7">
        <f t="shared" si="1"/>
        <v>5.3383079268031928E-3</v>
      </c>
      <c r="W115" s="7">
        <v>1.2165244777063561E-3</v>
      </c>
    </row>
    <row r="116" spans="1:23" ht="15" customHeight="1" x14ac:dyDescent="0.25">
      <c r="A116" s="3" t="s">
        <v>141</v>
      </c>
      <c r="B116" s="6">
        <f>'Importe $ (Distribuidores)'!C119/'Importe $ (Distribuidores)'!C$131</f>
        <v>3.3276076406774675E-3</v>
      </c>
      <c r="C116" s="6">
        <f>'Importe $ (Distribuidores)'!D119/'Importe $ (Distribuidores)'!D$131</f>
        <v>0</v>
      </c>
      <c r="D116" s="6">
        <f>'Importe $ (Distribuidores)'!E119/'Importe $ (Distribuidores)'!E$131</f>
        <v>1.376200883585638E-3</v>
      </c>
      <c r="E116" s="6">
        <f>'Importe $ (Distribuidores)'!F119/'Importe $ (Distribuidores)'!F$131</f>
        <v>5.7166307386624974E-4</v>
      </c>
      <c r="F116" s="6">
        <f>'Importe $ (Distribuidores)'!G119/'Importe $ (Distribuidores)'!G$131</f>
        <v>0</v>
      </c>
      <c r="G116" s="6">
        <f>'Importe $ (Distribuidores)'!H119/'Importe $ (Distribuidores)'!H$131</f>
        <v>0</v>
      </c>
      <c r="H116" s="6">
        <f>'Importe $ (Distribuidores)'!I119/'Importe $ (Distribuidores)'!I$131</f>
        <v>1.0167985685476694E-3</v>
      </c>
      <c r="I116" s="6">
        <f>'Importe $ (Distribuidores)'!J119/'Importe $ (Distribuidores)'!J$131</f>
        <v>0</v>
      </c>
      <c r="J116" s="6">
        <f>'Importe $ (Distribuidores)'!K119/'Importe $ (Distribuidores)'!K$131</f>
        <v>1.828453655837806E-3</v>
      </c>
      <c r="K116" s="6">
        <f>'Importe $ (Distribuidores)'!L119/'Importe $ (Distribuidores)'!L$131</f>
        <v>2.7050950485994177E-3</v>
      </c>
      <c r="L116" s="6">
        <f>'Importe $ (Distribuidores)'!M119/'Importe $ (Distribuidores)'!M$131</f>
        <v>4.3142649175978163E-3</v>
      </c>
      <c r="M116" s="6">
        <f>'Importe $ (Distribuidores)'!N119/'Importe $ (Distribuidores)'!N$131</f>
        <v>0</v>
      </c>
      <c r="N116" s="6">
        <f>'Importe $ (Distribuidores)'!O119/'Importe $ (Distribuidores)'!O$131</f>
        <v>0</v>
      </c>
      <c r="O116" s="6">
        <f>'Importe $ (Distribuidores)'!P119/'Importe $ (Distribuidores)'!P$131</f>
        <v>4.1260330214586647E-5</v>
      </c>
      <c r="P116" s="6">
        <f>'Importe $ (Distribuidores)'!Q119/'Importe $ (Distribuidores)'!Q$131</f>
        <v>4.6295008780295153E-3</v>
      </c>
      <c r="Q116" s="6">
        <f>'Importe $ (Distribuidores)'!R119/'Importe $ (Distribuidores)'!R$131</f>
        <v>0</v>
      </c>
      <c r="R116" s="6">
        <f>'Importe $ (Distribuidores)'!S119/'Importe $ (Distribuidores)'!S$131</f>
        <v>6.5877524238873726E-5</v>
      </c>
      <c r="S116" s="6">
        <f>'Importe $ (Distribuidores)'!T119/'Importe $ (Distribuidores)'!T$131</f>
        <v>3.1364631656300037E-4</v>
      </c>
      <c r="T116" s="6">
        <f>'Importe $ (Distribuidores)'!U119/'Importe $ (Distribuidores)'!U$131</f>
        <v>0</v>
      </c>
      <c r="U116" s="6">
        <f>'Importe $ (Distribuidores)'!V119/'Importe $ (Distribuidores)'!V$131</f>
        <v>1.5973379328151E-3</v>
      </c>
      <c r="V116" s="7">
        <f t="shared" si="1"/>
        <v>1.0893853385286569E-3</v>
      </c>
      <c r="W116" s="7">
        <v>3.0155717432095454E-3</v>
      </c>
    </row>
    <row r="117" spans="1:23" ht="15" customHeight="1" x14ac:dyDescent="0.25">
      <c r="A117" s="3" t="s">
        <v>142</v>
      </c>
      <c r="B117" s="6">
        <f>'Importe $ (Distribuidores)'!C120/'Importe $ (Distribuidores)'!C$131</f>
        <v>3.9936203890330165E-3</v>
      </c>
      <c r="C117" s="6">
        <f>'Importe $ (Distribuidores)'!D120/'Importe $ (Distribuidores)'!D$131</f>
        <v>0</v>
      </c>
      <c r="D117" s="6">
        <f>'Importe $ (Distribuidores)'!E120/'Importe $ (Distribuidores)'!E$131</f>
        <v>0</v>
      </c>
      <c r="E117" s="6">
        <f>'Importe $ (Distribuidores)'!F120/'Importe $ (Distribuidores)'!F$131</f>
        <v>3.6295472475130377E-3</v>
      </c>
      <c r="F117" s="6">
        <f>'Importe $ (Distribuidores)'!G120/'Importe $ (Distribuidores)'!G$131</f>
        <v>0</v>
      </c>
      <c r="G117" s="6">
        <f>'Importe $ (Distribuidores)'!H120/'Importe $ (Distribuidores)'!H$131</f>
        <v>0</v>
      </c>
      <c r="H117" s="6">
        <f>'Importe $ (Distribuidores)'!I120/'Importe $ (Distribuidores)'!I$131</f>
        <v>-1.27518753367388E-4</v>
      </c>
      <c r="I117" s="6">
        <f>'Importe $ (Distribuidores)'!J120/'Importe $ (Distribuidores)'!J$131</f>
        <v>0</v>
      </c>
      <c r="J117" s="6">
        <f>'Importe $ (Distribuidores)'!K120/'Importe $ (Distribuidores)'!K$131</f>
        <v>4.9607853990204613E-3</v>
      </c>
      <c r="K117" s="6">
        <f>'Importe $ (Distribuidores)'!L120/'Importe $ (Distribuidores)'!L$131</f>
        <v>0</v>
      </c>
      <c r="L117" s="6">
        <f>'Importe $ (Distribuidores)'!M120/'Importe $ (Distribuidores)'!M$131</f>
        <v>2.6995692759237792E-3</v>
      </c>
      <c r="M117" s="6">
        <f>'Importe $ (Distribuidores)'!N120/'Importe $ (Distribuidores)'!N$131</f>
        <v>0</v>
      </c>
      <c r="N117" s="6">
        <f>'Importe $ (Distribuidores)'!O120/'Importe $ (Distribuidores)'!O$131</f>
        <v>0</v>
      </c>
      <c r="O117" s="6">
        <f>'Importe $ (Distribuidores)'!P120/'Importe $ (Distribuidores)'!P$131</f>
        <v>-2.2738081322267467E-4</v>
      </c>
      <c r="P117" s="6">
        <f>'Importe $ (Distribuidores)'!Q120/'Importe $ (Distribuidores)'!Q$131</f>
        <v>4.3125270539763555E-3</v>
      </c>
      <c r="Q117" s="6">
        <f>'Importe $ (Distribuidores)'!R120/'Importe $ (Distribuidores)'!R$131</f>
        <v>0</v>
      </c>
      <c r="R117" s="6">
        <f>'Importe $ (Distribuidores)'!S120/'Importe $ (Distribuidores)'!S$131</f>
        <v>2.312064709183552E-4</v>
      </c>
      <c r="S117" s="6">
        <f>'Importe $ (Distribuidores)'!T120/'Importe $ (Distribuidores)'!T$131</f>
        <v>4.7587934755300319E-3</v>
      </c>
      <c r="T117" s="6">
        <f>'Importe $ (Distribuidores)'!U120/'Importe $ (Distribuidores)'!U$131</f>
        <v>0</v>
      </c>
      <c r="U117" s="6">
        <f>'Importe $ (Distribuidores)'!V120/'Importe $ (Distribuidores)'!V$131</f>
        <v>2.7974768609462311E-3</v>
      </c>
      <c r="V117" s="7">
        <f t="shared" si="1"/>
        <v>1.3514313303135603E-3</v>
      </c>
      <c r="W117" s="7">
        <v>1.4806496770431623E-3</v>
      </c>
    </row>
    <row r="118" spans="1:23" ht="15" customHeight="1" x14ac:dyDescent="0.25">
      <c r="A118" s="3" t="s">
        <v>143</v>
      </c>
      <c r="B118" s="6">
        <f>'Importe $ (Distribuidores)'!C121/'Importe $ (Distribuidores)'!C$131</f>
        <v>0</v>
      </c>
      <c r="C118" s="6">
        <f>'Importe $ (Distribuidores)'!D121/'Importe $ (Distribuidores)'!D$131</f>
        <v>0</v>
      </c>
      <c r="D118" s="6">
        <f>'Importe $ (Distribuidores)'!E121/'Importe $ (Distribuidores)'!E$131</f>
        <v>0</v>
      </c>
      <c r="E118" s="6">
        <f>'Importe $ (Distribuidores)'!F121/'Importe $ (Distribuidores)'!F$131</f>
        <v>-2.4559767124008615E-4</v>
      </c>
      <c r="F118" s="6">
        <f>'Importe $ (Distribuidores)'!G121/'Importe $ (Distribuidores)'!G$131</f>
        <v>0</v>
      </c>
      <c r="G118" s="6">
        <f>'Importe $ (Distribuidores)'!H121/'Importe $ (Distribuidores)'!H$131</f>
        <v>0</v>
      </c>
      <c r="H118" s="6">
        <f>'Importe $ (Distribuidores)'!I121/'Importe $ (Distribuidores)'!I$131</f>
        <v>0</v>
      </c>
      <c r="I118" s="6">
        <f>'Importe $ (Distribuidores)'!J121/'Importe $ (Distribuidores)'!J$131</f>
        <v>0</v>
      </c>
      <c r="J118" s="6">
        <f>'Importe $ (Distribuidores)'!K121/'Importe $ (Distribuidores)'!K$131</f>
        <v>6.9759596737665828E-3</v>
      </c>
      <c r="K118" s="6">
        <f>'Importe $ (Distribuidores)'!L121/'Importe $ (Distribuidores)'!L$131</f>
        <v>0</v>
      </c>
      <c r="L118" s="6">
        <f>'Importe $ (Distribuidores)'!M121/'Importe $ (Distribuidores)'!M$131</f>
        <v>0</v>
      </c>
      <c r="M118" s="6">
        <f>'Importe $ (Distribuidores)'!N121/'Importe $ (Distribuidores)'!N$131</f>
        <v>0</v>
      </c>
      <c r="N118" s="6">
        <f>'Importe $ (Distribuidores)'!O121/'Importe $ (Distribuidores)'!O$131</f>
        <v>2.0151666206291691E-2</v>
      </c>
      <c r="O118" s="6">
        <f>'Importe $ (Distribuidores)'!P121/'Importe $ (Distribuidores)'!P$131</f>
        <v>6.2722209500995193E-3</v>
      </c>
      <c r="P118" s="6">
        <f>'Importe $ (Distribuidores)'!Q121/'Importe $ (Distribuidores)'!Q$131</f>
        <v>0</v>
      </c>
      <c r="Q118" s="6">
        <f>'Importe $ (Distribuidores)'!R121/'Importe $ (Distribuidores)'!R$131</f>
        <v>0</v>
      </c>
      <c r="R118" s="6">
        <f>'Importe $ (Distribuidores)'!S121/'Importe $ (Distribuidores)'!S$131</f>
        <v>1.1201776524739367E-2</v>
      </c>
      <c r="S118" s="6">
        <f>'Importe $ (Distribuidores)'!T121/'Importe $ (Distribuidores)'!T$131</f>
        <v>1.3893058317555719E-4</v>
      </c>
      <c r="T118" s="6">
        <f>'Importe $ (Distribuidores)'!U121/'Importe $ (Distribuidores)'!U$131</f>
        <v>0</v>
      </c>
      <c r="U118" s="6">
        <f>'Importe $ (Distribuidores)'!V121/'Importe $ (Distribuidores)'!V$131</f>
        <v>0</v>
      </c>
      <c r="V118" s="7">
        <f t="shared" si="1"/>
        <v>2.2247478133416319E-3</v>
      </c>
      <c r="W118" s="7">
        <v>5.0125419561425754E-3</v>
      </c>
    </row>
    <row r="119" spans="1:23" ht="15" customHeight="1" x14ac:dyDescent="0.25">
      <c r="A119" s="3" t="s">
        <v>144</v>
      </c>
      <c r="B119" s="6">
        <f>'Importe $ (Distribuidores)'!C122/'Importe $ (Distribuidores)'!C$131</f>
        <v>4.4488177929490388E-3</v>
      </c>
      <c r="C119" s="6">
        <f>'Importe $ (Distribuidores)'!D122/'Importe $ (Distribuidores)'!D$131</f>
        <v>0</v>
      </c>
      <c r="D119" s="6">
        <f>'Importe $ (Distribuidores)'!E122/'Importe $ (Distribuidores)'!E$131</f>
        <v>0</v>
      </c>
      <c r="E119" s="6">
        <f>'Importe $ (Distribuidores)'!F122/'Importe $ (Distribuidores)'!F$131</f>
        <v>7.3116358395250794E-4</v>
      </c>
      <c r="F119" s="6">
        <f>'Importe $ (Distribuidores)'!G122/'Importe $ (Distribuidores)'!G$131</f>
        <v>0</v>
      </c>
      <c r="G119" s="6">
        <f>'Importe $ (Distribuidores)'!H122/'Importe $ (Distribuidores)'!H$131</f>
        <v>0</v>
      </c>
      <c r="H119" s="6">
        <f>'Importe $ (Distribuidores)'!I122/'Importe $ (Distribuidores)'!I$131</f>
        <v>2.1437807252048692E-4</v>
      </c>
      <c r="I119" s="6">
        <f>'Importe $ (Distribuidores)'!J122/'Importe $ (Distribuidores)'!J$131</f>
        <v>0</v>
      </c>
      <c r="J119" s="6">
        <f>'Importe $ (Distribuidores)'!K122/'Importe $ (Distribuidores)'!K$131</f>
        <v>3.8294454769415454E-4</v>
      </c>
      <c r="K119" s="6">
        <f>'Importe $ (Distribuidores)'!L122/'Importe $ (Distribuidores)'!L$131</f>
        <v>6.3921766559369808E-4</v>
      </c>
      <c r="L119" s="6">
        <f>'Importe $ (Distribuidores)'!M122/'Importe $ (Distribuidores)'!M$131</f>
        <v>1.7408437386798208E-3</v>
      </c>
      <c r="M119" s="6">
        <f>'Importe $ (Distribuidores)'!N122/'Importe $ (Distribuidores)'!N$131</f>
        <v>0</v>
      </c>
      <c r="N119" s="6">
        <f>'Importe $ (Distribuidores)'!O122/'Importe $ (Distribuidores)'!O$131</f>
        <v>0</v>
      </c>
      <c r="O119" s="6">
        <f>'Importe $ (Distribuidores)'!P122/'Importe $ (Distribuidores)'!P$131</f>
        <v>-8.1672626072252648E-5</v>
      </c>
      <c r="P119" s="6">
        <f>'Importe $ (Distribuidores)'!Q122/'Importe $ (Distribuidores)'!Q$131</f>
        <v>6.1936124204369663E-4</v>
      </c>
      <c r="Q119" s="6">
        <f>'Importe $ (Distribuidores)'!R122/'Importe $ (Distribuidores)'!R$131</f>
        <v>0</v>
      </c>
      <c r="R119" s="6">
        <f>'Importe $ (Distribuidores)'!S122/'Importe $ (Distribuidores)'!S$131</f>
        <v>0</v>
      </c>
      <c r="S119" s="6">
        <f>'Importe $ (Distribuidores)'!T122/'Importe $ (Distribuidores)'!T$131</f>
        <v>0</v>
      </c>
      <c r="T119" s="6">
        <f>'Importe $ (Distribuidores)'!U122/'Importe $ (Distribuidores)'!U$131</f>
        <v>0</v>
      </c>
      <c r="U119" s="6">
        <f>'Importe $ (Distribuidores)'!V122/'Importe $ (Distribuidores)'!V$131</f>
        <v>5.2390406352580826E-4</v>
      </c>
      <c r="V119" s="7">
        <f t="shared" si="1"/>
        <v>4.6094790404434797E-4</v>
      </c>
      <c r="W119" s="7">
        <v>2.3345866858100488E-4</v>
      </c>
    </row>
    <row r="120" spans="1:23" ht="15" customHeight="1" x14ac:dyDescent="0.25">
      <c r="A120" s="3" t="s">
        <v>145</v>
      </c>
      <c r="B120" s="6">
        <f>'Importe $ (Distribuidores)'!C123/'Importe $ (Distribuidores)'!C$131</f>
        <v>2.3825323663354951E-3</v>
      </c>
      <c r="C120" s="6">
        <f>'Importe $ (Distribuidores)'!D123/'Importe $ (Distribuidores)'!D$131</f>
        <v>0</v>
      </c>
      <c r="D120" s="6">
        <f>'Importe $ (Distribuidores)'!E123/'Importe $ (Distribuidores)'!E$131</f>
        <v>3.1823814072438231E-3</v>
      </c>
      <c r="E120" s="6">
        <f>'Importe $ (Distribuidores)'!F123/'Importe $ (Distribuidores)'!F$131</f>
        <v>2.5098297269374212E-3</v>
      </c>
      <c r="F120" s="6">
        <f>'Importe $ (Distribuidores)'!G123/'Importe $ (Distribuidores)'!G$131</f>
        <v>0</v>
      </c>
      <c r="G120" s="6">
        <f>'Importe $ (Distribuidores)'!H123/'Importe $ (Distribuidores)'!H$131</f>
        <v>0</v>
      </c>
      <c r="H120" s="6">
        <f>'Importe $ (Distribuidores)'!I123/'Importe $ (Distribuidores)'!I$131</f>
        <v>8.3266720125736021E-3</v>
      </c>
      <c r="I120" s="6">
        <f>'Importe $ (Distribuidores)'!J123/'Importe $ (Distribuidores)'!J$131</f>
        <v>0</v>
      </c>
      <c r="J120" s="6">
        <f>'Importe $ (Distribuidores)'!K123/'Importe $ (Distribuidores)'!K$131</f>
        <v>1.4311052323676971E-3</v>
      </c>
      <c r="K120" s="6">
        <f>'Importe $ (Distribuidores)'!L123/'Importe $ (Distribuidores)'!L$131</f>
        <v>0</v>
      </c>
      <c r="L120" s="6">
        <f>'Importe $ (Distribuidores)'!M123/'Importe $ (Distribuidores)'!M$131</f>
        <v>4.5548473597445692E-4</v>
      </c>
      <c r="M120" s="6">
        <f>'Importe $ (Distribuidores)'!N123/'Importe $ (Distribuidores)'!N$131</f>
        <v>0</v>
      </c>
      <c r="N120" s="6">
        <f>'Importe $ (Distribuidores)'!O123/'Importe $ (Distribuidores)'!O$131</f>
        <v>8.1865263085218378E-3</v>
      </c>
      <c r="O120" s="6">
        <f>'Importe $ (Distribuidores)'!P123/'Importe $ (Distribuidores)'!P$131</f>
        <v>2.2125562247098892E-3</v>
      </c>
      <c r="P120" s="6">
        <f>'Importe $ (Distribuidores)'!Q123/'Importe $ (Distribuidores)'!Q$131</f>
        <v>-1.4271435865776535E-3</v>
      </c>
      <c r="Q120" s="6">
        <f>'Importe $ (Distribuidores)'!R123/'Importe $ (Distribuidores)'!R$131</f>
        <v>0</v>
      </c>
      <c r="R120" s="6">
        <f>'Importe $ (Distribuidores)'!S123/'Importe $ (Distribuidores)'!S$131</f>
        <v>-2.7953246319157757E-5</v>
      </c>
      <c r="S120" s="6">
        <f>'Importe $ (Distribuidores)'!T123/'Importe $ (Distribuidores)'!T$131</f>
        <v>6.2449297137412941E-3</v>
      </c>
      <c r="T120" s="6">
        <f>'Importe $ (Distribuidores)'!U123/'Importe $ (Distribuidores)'!U$131</f>
        <v>7.7049726998812862E-4</v>
      </c>
      <c r="U120" s="6">
        <f>'Importe $ (Distribuidores)'!V123/'Importe $ (Distribuidores)'!V$131</f>
        <v>1.7169293521721303E-3</v>
      </c>
      <c r="V120" s="7">
        <f t="shared" si="1"/>
        <v>1.7982173758834485E-3</v>
      </c>
      <c r="W120" s="7">
        <v>4.8394906305667743E-3</v>
      </c>
    </row>
    <row r="121" spans="1:23" ht="15" customHeight="1" x14ac:dyDescent="0.25">
      <c r="A121" s="3" t="s">
        <v>146</v>
      </c>
      <c r="B121" s="6">
        <f>'Importe $ (Distribuidores)'!C124/'Importe $ (Distribuidores)'!C$131</f>
        <v>0</v>
      </c>
      <c r="C121" s="6">
        <f>'Importe $ (Distribuidores)'!D124/'Importe $ (Distribuidores)'!D$131</f>
        <v>0</v>
      </c>
      <c r="D121" s="6">
        <f>'Importe $ (Distribuidores)'!E124/'Importe $ (Distribuidores)'!E$131</f>
        <v>0</v>
      </c>
      <c r="E121" s="6">
        <f>'Importe $ (Distribuidores)'!F124/'Importe $ (Distribuidores)'!F$131</f>
        <v>-8.5589408664972012E-4</v>
      </c>
      <c r="F121" s="6">
        <f>'Importe $ (Distribuidores)'!G124/'Importe $ (Distribuidores)'!G$131</f>
        <v>0</v>
      </c>
      <c r="G121" s="6">
        <f>'Importe $ (Distribuidores)'!H124/'Importe $ (Distribuidores)'!H$131</f>
        <v>0</v>
      </c>
      <c r="H121" s="6">
        <f>'Importe $ (Distribuidores)'!I124/'Importe $ (Distribuidores)'!I$131</f>
        <v>-2.2311801853232742E-3</v>
      </c>
      <c r="I121" s="6">
        <f>'Importe $ (Distribuidores)'!J124/'Importe $ (Distribuidores)'!J$131</f>
        <v>0</v>
      </c>
      <c r="J121" s="6">
        <f>'Importe $ (Distribuidores)'!K124/'Importe $ (Distribuidores)'!K$131</f>
        <v>-3.6987560949210032E-4</v>
      </c>
      <c r="K121" s="6">
        <f>'Importe $ (Distribuidores)'!L124/'Importe $ (Distribuidores)'!L$131</f>
        <v>0</v>
      </c>
      <c r="L121" s="6">
        <f>'Importe $ (Distribuidores)'!M124/'Importe $ (Distribuidores)'!M$131</f>
        <v>0</v>
      </c>
      <c r="M121" s="6">
        <f>'Importe $ (Distribuidores)'!N124/'Importe $ (Distribuidores)'!N$131</f>
        <v>0</v>
      </c>
      <c r="N121" s="6">
        <f>'Importe $ (Distribuidores)'!O124/'Importe $ (Distribuidores)'!O$131</f>
        <v>0</v>
      </c>
      <c r="O121" s="6">
        <f>'Importe $ (Distribuidores)'!P124/'Importe $ (Distribuidores)'!P$131</f>
        <v>0</v>
      </c>
      <c r="P121" s="6">
        <f>'Importe $ (Distribuidores)'!Q124/'Importe $ (Distribuidores)'!Q$131</f>
        <v>0</v>
      </c>
      <c r="Q121" s="6">
        <f>'Importe $ (Distribuidores)'!R124/'Importe $ (Distribuidores)'!R$131</f>
        <v>0</v>
      </c>
      <c r="R121" s="6">
        <f>'Importe $ (Distribuidores)'!S124/'Importe $ (Distribuidores)'!S$131</f>
        <v>-5.0209624425863595E-5</v>
      </c>
      <c r="S121" s="6">
        <f>'Importe $ (Distribuidores)'!T124/'Importe $ (Distribuidores)'!T$131</f>
        <v>0</v>
      </c>
      <c r="T121" s="6">
        <f>'Importe $ (Distribuidores)'!U124/'Importe $ (Distribuidores)'!U$131</f>
        <v>0</v>
      </c>
      <c r="U121" s="6">
        <f>'Importe $ (Distribuidores)'!V124/'Importe $ (Distribuidores)'!V$131</f>
        <v>0</v>
      </c>
      <c r="V121" s="7">
        <f t="shared" si="1"/>
        <v>-1.7535797529454793E-4</v>
      </c>
      <c r="W121" s="7">
        <v>-7.6612119461803342E-5</v>
      </c>
    </row>
    <row r="122" spans="1:23" ht="15" customHeight="1" x14ac:dyDescent="0.25">
      <c r="A122" s="3" t="s">
        <v>147</v>
      </c>
      <c r="B122" s="6">
        <f>'Importe $ (Distribuidores)'!C125/'Importe $ (Distribuidores)'!C$131</f>
        <v>3.0093378731012935E-3</v>
      </c>
      <c r="C122" s="6">
        <f>'Importe $ (Distribuidores)'!D125/'Importe $ (Distribuidores)'!D$131</f>
        <v>0</v>
      </c>
      <c r="D122" s="6">
        <f>'Importe $ (Distribuidores)'!E125/'Importe $ (Distribuidores)'!E$131</f>
        <v>-6.2571515140023588E-4</v>
      </c>
      <c r="E122" s="6">
        <f>'Importe $ (Distribuidores)'!F125/'Importe $ (Distribuidores)'!F$131</f>
        <v>2.1505746284516146E-2</v>
      </c>
      <c r="F122" s="6">
        <f>'Importe $ (Distribuidores)'!G125/'Importe $ (Distribuidores)'!G$131</f>
        <v>0</v>
      </c>
      <c r="G122" s="6">
        <f>'Importe $ (Distribuidores)'!H125/'Importe $ (Distribuidores)'!H$131</f>
        <v>0</v>
      </c>
      <c r="H122" s="6">
        <f>'Importe $ (Distribuidores)'!I125/'Importe $ (Distribuidores)'!I$131</f>
        <v>1.312137724256365E-2</v>
      </c>
      <c r="I122" s="6">
        <f>'Importe $ (Distribuidores)'!J125/'Importe $ (Distribuidores)'!J$131</f>
        <v>0</v>
      </c>
      <c r="J122" s="6">
        <f>'Importe $ (Distribuidores)'!K125/'Importe $ (Distribuidores)'!K$131</f>
        <v>6.585159672651786E-3</v>
      </c>
      <c r="K122" s="6">
        <f>'Importe $ (Distribuidores)'!L125/'Importe $ (Distribuidores)'!L$131</f>
        <v>7.9622357470012124E-3</v>
      </c>
      <c r="L122" s="6">
        <f>'Importe $ (Distribuidores)'!M125/'Importe $ (Distribuidores)'!M$131</f>
        <v>-1.3955133231264866E-3</v>
      </c>
      <c r="M122" s="6">
        <f>'Importe $ (Distribuidores)'!N125/'Importe $ (Distribuidores)'!N$131</f>
        <v>0</v>
      </c>
      <c r="N122" s="6">
        <f>'Importe $ (Distribuidores)'!O125/'Importe $ (Distribuidores)'!O$131</f>
        <v>1.5920633757607418E-2</v>
      </c>
      <c r="O122" s="6">
        <f>'Importe $ (Distribuidores)'!P125/'Importe $ (Distribuidores)'!P$131</f>
        <v>8.9274690433832991E-3</v>
      </c>
      <c r="P122" s="6">
        <f>'Importe $ (Distribuidores)'!Q125/'Importe $ (Distribuidores)'!Q$131</f>
        <v>2.1463896521150171E-2</v>
      </c>
      <c r="Q122" s="6">
        <f>'Importe $ (Distribuidores)'!R125/'Importe $ (Distribuidores)'!R$131</f>
        <v>0</v>
      </c>
      <c r="R122" s="6">
        <f>'Importe $ (Distribuidores)'!S125/'Importe $ (Distribuidores)'!S$131</f>
        <v>6.2072696171009698E-3</v>
      </c>
      <c r="S122" s="6">
        <f>'Importe $ (Distribuidores)'!T125/'Importe $ (Distribuidores)'!T$131</f>
        <v>1.0741860090073763E-2</v>
      </c>
      <c r="T122" s="6">
        <f>'Importe $ (Distribuidores)'!U125/'Importe $ (Distribuidores)'!U$131</f>
        <v>1.8394456647708592E-2</v>
      </c>
      <c r="U122" s="6">
        <f>'Importe $ (Distribuidores)'!V125/'Importe $ (Distribuidores)'!V$131</f>
        <v>9.9535840185126304E-3</v>
      </c>
      <c r="V122" s="7">
        <f t="shared" si="1"/>
        <v>7.0885899020422111E-3</v>
      </c>
      <c r="W122" s="7">
        <v>1.348976474080346E-2</v>
      </c>
    </row>
    <row r="123" spans="1:23" ht="15" customHeight="1" x14ac:dyDescent="0.25">
      <c r="A123" s="3" t="s">
        <v>148</v>
      </c>
      <c r="B123" s="6">
        <f>'Importe $ (Distribuidores)'!C126/'Importe $ (Distribuidores)'!C$131</f>
        <v>0</v>
      </c>
      <c r="C123" s="6">
        <f>'Importe $ (Distribuidores)'!D126/'Importe $ (Distribuidores)'!D$131</f>
        <v>0</v>
      </c>
      <c r="D123" s="6">
        <f>'Importe $ (Distribuidores)'!E126/'Importe $ (Distribuidores)'!E$131</f>
        <v>0</v>
      </c>
      <c r="E123" s="6">
        <f>'Importe $ (Distribuidores)'!F126/'Importe $ (Distribuidores)'!F$131</f>
        <v>0</v>
      </c>
      <c r="F123" s="6">
        <f>'Importe $ (Distribuidores)'!G126/'Importe $ (Distribuidores)'!G$131</f>
        <v>0</v>
      </c>
      <c r="G123" s="6">
        <f>'Importe $ (Distribuidores)'!H126/'Importe $ (Distribuidores)'!H$131</f>
        <v>0</v>
      </c>
      <c r="H123" s="6">
        <f>'Importe $ (Distribuidores)'!I126/'Importe $ (Distribuidores)'!I$131</f>
        <v>0</v>
      </c>
      <c r="I123" s="6">
        <f>'Importe $ (Distribuidores)'!J126/'Importe $ (Distribuidores)'!J$131</f>
        <v>0</v>
      </c>
      <c r="J123" s="6">
        <f>'Importe $ (Distribuidores)'!K126/'Importe $ (Distribuidores)'!K$131</f>
        <v>0</v>
      </c>
      <c r="K123" s="6">
        <f>'Importe $ (Distribuidores)'!L126/'Importe $ (Distribuidores)'!L$131</f>
        <v>0</v>
      </c>
      <c r="L123" s="6">
        <f>'Importe $ (Distribuidores)'!M126/'Importe $ (Distribuidores)'!M$131</f>
        <v>0</v>
      </c>
      <c r="M123" s="6">
        <f>'Importe $ (Distribuidores)'!N126/'Importe $ (Distribuidores)'!N$131</f>
        <v>0</v>
      </c>
      <c r="N123" s="6">
        <f>'Importe $ (Distribuidores)'!O126/'Importe $ (Distribuidores)'!O$131</f>
        <v>0</v>
      </c>
      <c r="O123" s="6">
        <f>'Importe $ (Distribuidores)'!P126/'Importe $ (Distribuidores)'!P$131</f>
        <v>4.1033589910696983E-5</v>
      </c>
      <c r="P123" s="6">
        <f>'Importe $ (Distribuidores)'!Q126/'Importe $ (Distribuidores)'!Q$131</f>
        <v>0</v>
      </c>
      <c r="Q123" s="6">
        <f>'Importe $ (Distribuidores)'!R126/'Importe $ (Distribuidores)'!R$131</f>
        <v>0</v>
      </c>
      <c r="R123" s="6">
        <f>'Importe $ (Distribuidores)'!S126/'Importe $ (Distribuidores)'!S$131</f>
        <v>0</v>
      </c>
      <c r="S123" s="6">
        <f>'Importe $ (Distribuidores)'!T126/'Importe $ (Distribuidores)'!T$131</f>
        <v>0</v>
      </c>
      <c r="T123" s="6">
        <f>'Importe $ (Distribuidores)'!U126/'Importe $ (Distribuidores)'!U$131</f>
        <v>0</v>
      </c>
      <c r="U123" s="6">
        <f>'Importe $ (Distribuidores)'!V126/'Importe $ (Distribuidores)'!V$131</f>
        <v>0</v>
      </c>
      <c r="V123" s="7">
        <f t="shared" si="1"/>
        <v>2.0516794955348492E-6</v>
      </c>
      <c r="W123" s="7">
        <v>3.6476385888469692E-5</v>
      </c>
    </row>
    <row r="124" spans="1:23" ht="15" customHeight="1" x14ac:dyDescent="0.25">
      <c r="A124" s="3" t="s">
        <v>149</v>
      </c>
      <c r="B124" s="6">
        <f>'Importe $ (Distribuidores)'!C127/'Importe $ (Distribuidores)'!C$131</f>
        <v>4.5724415483291091E-4</v>
      </c>
      <c r="C124" s="6">
        <f>'Importe $ (Distribuidores)'!D127/'Importe $ (Distribuidores)'!D$131</f>
        <v>0</v>
      </c>
      <c r="D124" s="6">
        <f>'Importe $ (Distribuidores)'!E127/'Importe $ (Distribuidores)'!E$131</f>
        <v>0</v>
      </c>
      <c r="E124" s="6">
        <f>'Importe $ (Distribuidores)'!F127/'Importe $ (Distribuidores)'!F$131</f>
        <v>0</v>
      </c>
      <c r="F124" s="6">
        <f>'Importe $ (Distribuidores)'!G127/'Importe $ (Distribuidores)'!G$131</f>
        <v>0</v>
      </c>
      <c r="G124" s="6">
        <f>'Importe $ (Distribuidores)'!H127/'Importe $ (Distribuidores)'!H$131</f>
        <v>0</v>
      </c>
      <c r="H124" s="6">
        <f>'Importe $ (Distribuidores)'!I127/'Importe $ (Distribuidores)'!I$131</f>
        <v>-1.9661131137169063E-5</v>
      </c>
      <c r="I124" s="6">
        <f>'Importe $ (Distribuidores)'!J127/'Importe $ (Distribuidores)'!J$131</f>
        <v>0</v>
      </c>
      <c r="J124" s="6">
        <f>'Importe $ (Distribuidores)'!K127/'Importe $ (Distribuidores)'!K$131</f>
        <v>5.2763293237450908E-4</v>
      </c>
      <c r="K124" s="6">
        <f>'Importe $ (Distribuidores)'!L127/'Importe $ (Distribuidores)'!L$131</f>
        <v>1.8130467242111106E-3</v>
      </c>
      <c r="L124" s="6">
        <f>'Importe $ (Distribuidores)'!M127/'Importe $ (Distribuidores)'!M$131</f>
        <v>5.031206602247356E-3</v>
      </c>
      <c r="M124" s="6">
        <f>'Importe $ (Distribuidores)'!N127/'Importe $ (Distribuidores)'!N$131</f>
        <v>0</v>
      </c>
      <c r="N124" s="6">
        <f>'Importe $ (Distribuidores)'!O127/'Importe $ (Distribuidores)'!O$131</f>
        <v>2.0295425470037783E-3</v>
      </c>
      <c r="O124" s="6">
        <f>'Importe $ (Distribuidores)'!P127/'Importe $ (Distribuidores)'!P$131</f>
        <v>1.6255614464622269E-4</v>
      </c>
      <c r="P124" s="6">
        <f>'Importe $ (Distribuidores)'!Q127/'Importe $ (Distribuidores)'!Q$131</f>
        <v>-6.7321874135184418E-5</v>
      </c>
      <c r="Q124" s="6">
        <f>'Importe $ (Distribuidores)'!R127/'Importe $ (Distribuidores)'!R$131</f>
        <v>0</v>
      </c>
      <c r="R124" s="6">
        <f>'Importe $ (Distribuidores)'!S127/'Importe $ (Distribuidores)'!S$131</f>
        <v>0</v>
      </c>
      <c r="S124" s="6">
        <f>'Importe $ (Distribuidores)'!T127/'Importe $ (Distribuidores)'!T$131</f>
        <v>0</v>
      </c>
      <c r="T124" s="6">
        <f>'Importe $ (Distribuidores)'!U127/'Importe $ (Distribuidores)'!U$131</f>
        <v>0</v>
      </c>
      <c r="U124" s="6">
        <f>'Importe $ (Distribuidores)'!V127/'Importe $ (Distribuidores)'!V$131</f>
        <v>8.2453198403631498E-4</v>
      </c>
      <c r="V124" s="7">
        <f t="shared" si="1"/>
        <v>5.3793890420399256E-4</v>
      </c>
      <c r="W124" s="7">
        <v>3.8248629750001369E-4</v>
      </c>
    </row>
    <row r="125" spans="1:23" ht="15" customHeight="1" x14ac:dyDescent="0.25">
      <c r="A125" s="3" t="s">
        <v>150</v>
      </c>
      <c r="B125" s="6">
        <f>'Importe $ (Distribuidores)'!C128/'Importe $ (Distribuidores)'!C$131</f>
        <v>0</v>
      </c>
      <c r="C125" s="6">
        <f>'Importe $ (Distribuidores)'!D128/'Importe $ (Distribuidores)'!D$131</f>
        <v>0</v>
      </c>
      <c r="D125" s="6">
        <f>'Importe $ (Distribuidores)'!E128/'Importe $ (Distribuidores)'!E$131</f>
        <v>0</v>
      </c>
      <c r="E125" s="6">
        <f>'Importe $ (Distribuidores)'!F128/'Importe $ (Distribuidores)'!F$131</f>
        <v>1.4150841102462489E-4</v>
      </c>
      <c r="F125" s="6">
        <f>'Importe $ (Distribuidores)'!G128/'Importe $ (Distribuidores)'!G$131</f>
        <v>0</v>
      </c>
      <c r="G125" s="6">
        <f>'Importe $ (Distribuidores)'!H128/'Importe $ (Distribuidores)'!H$131</f>
        <v>0</v>
      </c>
      <c r="H125" s="6">
        <f>'Importe $ (Distribuidores)'!I128/'Importe $ (Distribuidores)'!I$131</f>
        <v>-8.5575282611457485E-4</v>
      </c>
      <c r="I125" s="6">
        <f>'Importe $ (Distribuidores)'!J128/'Importe $ (Distribuidores)'!J$131</f>
        <v>0</v>
      </c>
      <c r="J125" s="6">
        <f>'Importe $ (Distribuidores)'!K128/'Importe $ (Distribuidores)'!K$131</f>
        <v>4.6586713671743097E-3</v>
      </c>
      <c r="K125" s="6">
        <f>'Importe $ (Distribuidores)'!L128/'Importe $ (Distribuidores)'!L$131</f>
        <v>0</v>
      </c>
      <c r="L125" s="6">
        <f>'Importe $ (Distribuidores)'!M128/'Importe $ (Distribuidores)'!M$131</f>
        <v>0</v>
      </c>
      <c r="M125" s="6">
        <f>'Importe $ (Distribuidores)'!N128/'Importe $ (Distribuidores)'!N$131</f>
        <v>0</v>
      </c>
      <c r="N125" s="6">
        <f>'Importe $ (Distribuidores)'!O128/'Importe $ (Distribuidores)'!O$131</f>
        <v>0</v>
      </c>
      <c r="O125" s="6">
        <f>'Importe $ (Distribuidores)'!P128/'Importe $ (Distribuidores)'!P$131</f>
        <v>1.1225054163070474E-4</v>
      </c>
      <c r="P125" s="6">
        <f>'Importe $ (Distribuidores)'!Q128/'Importe $ (Distribuidores)'!Q$131</f>
        <v>0</v>
      </c>
      <c r="Q125" s="6">
        <f>'Importe $ (Distribuidores)'!R128/'Importe $ (Distribuidores)'!R$131</f>
        <v>0</v>
      </c>
      <c r="R125" s="6">
        <f>'Importe $ (Distribuidores)'!S128/'Importe $ (Distribuidores)'!S$131</f>
        <v>0</v>
      </c>
      <c r="S125" s="6">
        <f>'Importe $ (Distribuidores)'!T128/'Importe $ (Distribuidores)'!T$131</f>
        <v>0</v>
      </c>
      <c r="T125" s="6">
        <f>'Importe $ (Distribuidores)'!U128/'Importe $ (Distribuidores)'!U$131</f>
        <v>0</v>
      </c>
      <c r="U125" s="6">
        <f>'Importe $ (Distribuidores)'!V128/'Importe $ (Distribuidores)'!V$131</f>
        <v>0</v>
      </c>
      <c r="V125" s="7">
        <f t="shared" si="1"/>
        <v>2.0283387468575327E-4</v>
      </c>
      <c r="W125" s="7">
        <v>2.6479007330509892E-3</v>
      </c>
    </row>
    <row r="126" spans="1:23" ht="15" customHeight="1" x14ac:dyDescent="0.25">
      <c r="A126" s="3" t="s">
        <v>151</v>
      </c>
      <c r="B126" s="6">
        <f>'Importe $ (Distribuidores)'!C129/'Importe $ (Distribuidores)'!C$131</f>
        <v>0</v>
      </c>
      <c r="C126" s="6">
        <f>'Importe $ (Distribuidores)'!D129/'Importe $ (Distribuidores)'!D$131</f>
        <v>0</v>
      </c>
      <c r="D126" s="6">
        <f>'Importe $ (Distribuidores)'!E129/'Importe $ (Distribuidores)'!E$131</f>
        <v>2.1602070703103382E-3</v>
      </c>
      <c r="E126" s="6">
        <f>'Importe $ (Distribuidores)'!F129/'Importe $ (Distribuidores)'!F$131</f>
        <v>0</v>
      </c>
      <c r="F126" s="6">
        <f>'Importe $ (Distribuidores)'!G129/'Importe $ (Distribuidores)'!G$131</f>
        <v>0</v>
      </c>
      <c r="G126" s="6">
        <f>'Importe $ (Distribuidores)'!H129/'Importe $ (Distribuidores)'!H$131</f>
        <v>0</v>
      </c>
      <c r="H126" s="6">
        <f>'Importe $ (Distribuidores)'!I129/'Importe $ (Distribuidores)'!I$131</f>
        <v>0</v>
      </c>
      <c r="I126" s="6">
        <f>'Importe $ (Distribuidores)'!J129/'Importe $ (Distribuidores)'!J$131</f>
        <v>0</v>
      </c>
      <c r="J126" s="6">
        <f>'Importe $ (Distribuidores)'!K129/'Importe $ (Distribuidores)'!K$131</f>
        <v>1.2258734486023895E-4</v>
      </c>
      <c r="K126" s="6">
        <f>'Importe $ (Distribuidores)'!L129/'Importe $ (Distribuidores)'!L$131</f>
        <v>6.7164175008033481E-4</v>
      </c>
      <c r="L126" s="6">
        <f>'Importe $ (Distribuidores)'!M129/'Importe $ (Distribuidores)'!M$131</f>
        <v>0</v>
      </c>
      <c r="M126" s="6">
        <f>'Importe $ (Distribuidores)'!N129/'Importe $ (Distribuidores)'!N$131</f>
        <v>0</v>
      </c>
      <c r="N126" s="6">
        <f>'Importe $ (Distribuidores)'!O129/'Importe $ (Distribuidores)'!O$131</f>
        <v>0</v>
      </c>
      <c r="O126" s="6">
        <f>'Importe $ (Distribuidores)'!P129/'Importe $ (Distribuidores)'!P$131</f>
        <v>0</v>
      </c>
      <c r="P126" s="6">
        <f>'Importe $ (Distribuidores)'!Q129/'Importe $ (Distribuidores)'!Q$131</f>
        <v>0</v>
      </c>
      <c r="Q126" s="6">
        <f>'Importe $ (Distribuidores)'!R129/'Importe $ (Distribuidores)'!R$131</f>
        <v>0</v>
      </c>
      <c r="R126" s="6">
        <f>'Importe $ (Distribuidores)'!S129/'Importe $ (Distribuidores)'!S$131</f>
        <v>0</v>
      </c>
      <c r="S126" s="6">
        <f>'Importe $ (Distribuidores)'!T129/'Importe $ (Distribuidores)'!T$131</f>
        <v>0</v>
      </c>
      <c r="T126" s="6">
        <f>'Importe $ (Distribuidores)'!U129/'Importe $ (Distribuidores)'!U$131</f>
        <v>0</v>
      </c>
      <c r="U126" s="6">
        <f>'Importe $ (Distribuidores)'!V129/'Importe $ (Distribuidores)'!V$131</f>
        <v>0</v>
      </c>
      <c r="V126" s="7">
        <f t="shared" si="1"/>
        <v>1.4772180826254559E-4</v>
      </c>
      <c r="W126" s="7">
        <v>2.6513884542599877E-5</v>
      </c>
    </row>
    <row r="127" spans="1:23" ht="15" customHeight="1" x14ac:dyDescent="0.25">
      <c r="A127" s="3" t="s">
        <v>152</v>
      </c>
      <c r="B127" s="6">
        <f>'Importe $ (Distribuidores)'!C130/'Importe $ (Distribuidores)'!C$131</f>
        <v>1.0441600810993948E-2</v>
      </c>
      <c r="C127" s="6">
        <f>'Importe $ (Distribuidores)'!D130/'Importe $ (Distribuidores)'!D$131</f>
        <v>0</v>
      </c>
      <c r="D127" s="6">
        <f>'Importe $ (Distribuidores)'!E130/'Importe $ (Distribuidores)'!E$131</f>
        <v>1.9040859676637732E-2</v>
      </c>
      <c r="E127" s="6">
        <f>'Importe $ (Distribuidores)'!F130/'Importe $ (Distribuidores)'!F$131</f>
        <v>1.7177928983850409E-2</v>
      </c>
      <c r="F127" s="6">
        <f>'Importe $ (Distribuidores)'!G130/'Importe $ (Distribuidores)'!G$131</f>
        <v>0</v>
      </c>
      <c r="G127" s="6">
        <f>'Importe $ (Distribuidores)'!H130/'Importe $ (Distribuidores)'!H$131</f>
        <v>0</v>
      </c>
      <c r="H127" s="6">
        <f>'Importe $ (Distribuidores)'!I130/'Importe $ (Distribuidores)'!I$131</f>
        <v>1.7040158353452434E-2</v>
      </c>
      <c r="I127" s="6">
        <f>'Importe $ (Distribuidores)'!J130/'Importe $ (Distribuidores)'!J$131</f>
        <v>0</v>
      </c>
      <c r="J127" s="6">
        <f>'Importe $ (Distribuidores)'!K130/'Importe $ (Distribuidores)'!K$131</f>
        <v>1.6178759457463141E-2</v>
      </c>
      <c r="K127" s="6">
        <f>'Importe $ (Distribuidores)'!L130/'Importe $ (Distribuidores)'!L$131</f>
        <v>4.9933090109420767E-3</v>
      </c>
      <c r="L127" s="6">
        <f>'Importe $ (Distribuidores)'!M130/'Importe $ (Distribuidores)'!M$131</f>
        <v>2.2689837714773706E-2</v>
      </c>
      <c r="M127" s="6">
        <f>'Importe $ (Distribuidores)'!N130/'Importe $ (Distribuidores)'!N$131</f>
        <v>0</v>
      </c>
      <c r="N127" s="6">
        <f>'Importe $ (Distribuidores)'!O130/'Importe $ (Distribuidores)'!O$131</f>
        <v>1.1619131081596634E-2</v>
      </c>
      <c r="O127" s="6">
        <f>'Importe $ (Distribuidores)'!P130/'Importe $ (Distribuidores)'!P$131</f>
        <v>1.6863227238299899E-2</v>
      </c>
      <c r="P127" s="6">
        <f>'Importe $ (Distribuidores)'!Q130/'Importe $ (Distribuidores)'!Q$131</f>
        <v>1.0556069864396916E-2</v>
      </c>
      <c r="Q127" s="6">
        <f>'Importe $ (Distribuidores)'!R130/'Importe $ (Distribuidores)'!R$131</f>
        <v>2.5288655740048977E-2</v>
      </c>
      <c r="R127" s="6">
        <f>'Importe $ (Distribuidores)'!S130/'Importe $ (Distribuidores)'!S$131</f>
        <v>1.3322637448142173E-2</v>
      </c>
      <c r="S127" s="6">
        <f>'Importe $ (Distribuidores)'!T130/'Importe $ (Distribuidores)'!T$131</f>
        <v>5.1160134749980955E-3</v>
      </c>
      <c r="T127" s="6">
        <f>'Importe $ (Distribuidores)'!U130/'Importe $ (Distribuidores)'!U$131</f>
        <v>3.6955464282404211E-2</v>
      </c>
      <c r="U127" s="6">
        <f>'Importe $ (Distribuidores)'!V130/'Importe $ (Distribuidores)'!V$131</f>
        <v>1.3556017643730286E-2</v>
      </c>
      <c r="V127" s="7">
        <f t="shared" si="1"/>
        <v>1.2041983539086532E-2</v>
      </c>
      <c r="W127" s="7">
        <v>7.6570043270007783E-3</v>
      </c>
    </row>
    <row r="128" spans="1:23" ht="15.75" x14ac:dyDescent="0.25">
      <c r="A128" s="20"/>
      <c r="B128" s="21">
        <f>SUM(B2:B127)</f>
        <v>1</v>
      </c>
      <c r="C128" s="21">
        <f t="shared" ref="C128:W128" si="2">SUM(C2:C127)</f>
        <v>0.99999999999999989</v>
      </c>
      <c r="D128" s="21">
        <f t="shared" si="2"/>
        <v>0.99999999999999944</v>
      </c>
      <c r="E128" s="21">
        <f t="shared" si="2"/>
        <v>1.0000000000000002</v>
      </c>
      <c r="F128" s="21">
        <f t="shared" si="2"/>
        <v>1</v>
      </c>
      <c r="G128" s="21">
        <f t="shared" si="2"/>
        <v>1</v>
      </c>
      <c r="H128" s="21">
        <f t="shared" si="2"/>
        <v>0.99999999999999933</v>
      </c>
      <c r="I128" s="21">
        <f t="shared" si="2"/>
        <v>0.99999999999999978</v>
      </c>
      <c r="J128" s="21">
        <f t="shared" si="2"/>
        <v>0.99999999999999978</v>
      </c>
      <c r="K128" s="21">
        <f t="shared" si="2"/>
        <v>1</v>
      </c>
      <c r="L128" s="21">
        <f t="shared" si="2"/>
        <v>0.99999999999999978</v>
      </c>
      <c r="M128" s="21">
        <f t="shared" si="2"/>
        <v>1</v>
      </c>
      <c r="N128" s="21">
        <f t="shared" si="2"/>
        <v>0.99999999999999989</v>
      </c>
      <c r="O128" s="21">
        <f t="shared" si="2"/>
        <v>0.99999999999999978</v>
      </c>
      <c r="P128" s="21">
        <f t="shared" si="2"/>
        <v>1.0000000000000002</v>
      </c>
      <c r="Q128" s="21">
        <f t="shared" si="2"/>
        <v>0.99999999999999989</v>
      </c>
      <c r="R128" s="21">
        <f t="shared" si="2"/>
        <v>1.0000000000000002</v>
      </c>
      <c r="S128" s="21">
        <f t="shared" si="2"/>
        <v>1</v>
      </c>
      <c r="T128" s="21">
        <f t="shared" si="2"/>
        <v>1.0000000000000002</v>
      </c>
      <c r="U128" s="21">
        <f t="shared" si="2"/>
        <v>0.99999999999999989</v>
      </c>
      <c r="V128" s="21">
        <f t="shared" si="2"/>
        <v>1</v>
      </c>
      <c r="W128" s="21">
        <f t="shared" si="2"/>
        <v>1.0008699476300387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E820-6085-46DA-9487-862B3BAF6977}">
  <dimension ref="B2:Y129"/>
  <sheetViews>
    <sheetView workbookViewId="0">
      <pane ySplit="2" topLeftCell="A3" activePane="bottomLeft" state="frozen"/>
      <selection pane="bottomLeft" activeCell="T10" sqref="T10"/>
    </sheetView>
  </sheetViews>
  <sheetFormatPr baseColWidth="10" defaultRowHeight="15" x14ac:dyDescent="0.25"/>
  <cols>
    <col min="2" max="2" width="23.140625" bestFit="1" customWidth="1"/>
    <col min="3" max="3" width="26.28515625" customWidth="1"/>
    <col min="4" max="4" width="31.5703125" customWidth="1"/>
    <col min="5" max="5" width="41.140625" customWidth="1"/>
    <col min="6" max="6" width="22.5703125" customWidth="1"/>
    <col min="7" max="7" width="41.42578125" customWidth="1"/>
    <col min="8" max="8" width="22.140625" customWidth="1"/>
    <col min="9" max="9" width="29.42578125" customWidth="1"/>
    <col min="10" max="10" width="28.5703125" customWidth="1"/>
    <col min="11" max="11" width="26" customWidth="1"/>
    <col min="12" max="12" width="36" customWidth="1"/>
    <col min="13" max="13" width="20" customWidth="1"/>
    <col min="14" max="14" width="24.5703125" customWidth="1"/>
    <col min="15" max="15" width="21.42578125" customWidth="1"/>
    <col min="16" max="16" width="43.140625" customWidth="1"/>
    <col min="17" max="17" width="33.7109375" customWidth="1"/>
    <col min="18" max="18" width="28.42578125" customWidth="1"/>
    <col min="19" max="19" width="22.42578125" customWidth="1"/>
    <col min="20" max="20" width="31.5703125" customWidth="1"/>
    <col min="21" max="21" width="41.140625" customWidth="1"/>
    <col min="22" max="22" width="32" customWidth="1"/>
    <col min="23" max="23" width="29" customWidth="1"/>
    <col min="24" max="24" width="38" customWidth="1"/>
    <col min="25" max="25" width="19.42578125" bestFit="1" customWidth="1"/>
  </cols>
  <sheetData>
    <row r="2" spans="2:25" x14ac:dyDescent="0.25">
      <c r="B2" s="12" t="s">
        <v>26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154</v>
      </c>
      <c r="X2" s="14" t="s">
        <v>164</v>
      </c>
      <c r="Y2" s="13" t="s">
        <v>166</v>
      </c>
    </row>
    <row r="3" spans="2:25" x14ac:dyDescent="0.25">
      <c r="B3" s="15" t="s">
        <v>27</v>
      </c>
      <c r="C3" s="16">
        <f>IFERROR(INDEX(Volcado_Dist!$A:$ZZ, MATCH($B3, Volcado_Dist!$A:$A, 0), MATCH(C$2, Volcado_Dist!$1:$1, 0)) / SUM(INDEX(Volcado_Dist!$A:$ZZ, 0, MATCH(C$2, Volcado_Dist!$1:$1, 0))), 0)</f>
        <v>0</v>
      </c>
      <c r="D3" s="16">
        <f>IFERROR(INDEX(Volcado_Dist!$A:$ZZ, MATCH($B3, Volcado_Dist!$A:$A, 0), MATCH(D$2, Volcado_Dist!$1:$1, 0)) / SUM(INDEX(Volcado_Dist!$A:$ZZ, 0, MATCH(D$2, Volcado_Dist!$1:$1, 0))), 0)</f>
        <v>0</v>
      </c>
      <c r="E3" s="16">
        <f>IFERROR(INDEX(Volcado_Dist!$A:$ZZ, MATCH($B3, Volcado_Dist!$A:$A, 0), MATCH(E$2, Volcado_Dist!$1:$1, 0)) / SUM(INDEX(Volcado_Dist!$A:$ZZ, 0, MATCH(E$2, Volcado_Dist!$1:$1, 0))), 0)</f>
        <v>0</v>
      </c>
      <c r="F3" s="16">
        <f>IFERROR(INDEX(Volcado_Dist!$A:$ZZ, MATCH($B3, Volcado_Dist!$A:$A, 0), MATCH(F$2, Volcado_Dist!$1:$1, 0)) / SUM(INDEX(Volcado_Dist!$A:$ZZ, 0, MATCH(F$2, Volcado_Dist!$1:$1, 0))), 0)</f>
        <v>7.4039591664477357E-4</v>
      </c>
      <c r="G3" s="16">
        <f>IFERROR(INDEX(Volcado_Dist!$A:$ZZ, MATCH($B3, Volcado_Dist!$A:$A, 0), MATCH(G$2, Volcado_Dist!$1:$1, 0)) / SUM(INDEX(Volcado_Dist!$A:$ZZ, 0, MATCH(G$2, Volcado_Dist!$1:$1, 0))), 0)</f>
        <v>0</v>
      </c>
      <c r="H3" s="16">
        <f>IFERROR(INDEX(Volcado_Dist!$A:$ZZ, MATCH($B3, Volcado_Dist!$A:$A, 0), MATCH(H$2, Volcado_Dist!$1:$1, 0)) / SUM(INDEX(Volcado_Dist!$A:$ZZ, 0, MATCH(H$2, Volcado_Dist!$1:$1, 0))), 0)</f>
        <v>0</v>
      </c>
      <c r="I3" s="16">
        <f>IFERROR(INDEX(Volcado_Dist!$A:$ZZ, MATCH($B3, Volcado_Dist!$A:$A, 0), MATCH(I$2, Volcado_Dist!$1:$1, 0)) / SUM(INDEX(Volcado_Dist!$A:$ZZ, 0, MATCH(I$2, Volcado_Dist!$1:$1, 0))), 0)</f>
        <v>3.350650658483758E-4</v>
      </c>
      <c r="J3" s="16">
        <f>IFERROR(INDEX(Volcado_Dist!$A:$ZZ, MATCH($B3, Volcado_Dist!$A:$A, 0), MATCH(J$2, Volcado_Dist!$1:$1, 0)) / SUM(INDEX(Volcado_Dist!$A:$ZZ, 0, MATCH(J$2, Volcado_Dist!$1:$1, 0))), 0)</f>
        <v>0</v>
      </c>
      <c r="K3" s="16">
        <f>IFERROR(INDEX(Volcado_Dist!$A:$ZZ, MATCH($B3, Volcado_Dist!$A:$A, 0), MATCH(K$2, Volcado_Dist!$1:$1, 0)) / SUM(INDEX(Volcado_Dist!$A:$ZZ, 0, MATCH(K$2, Volcado_Dist!$1:$1, 0))), 0)</f>
        <v>0</v>
      </c>
      <c r="L3" s="16">
        <f>IFERROR(INDEX(Volcado_Dist!$A:$ZZ, MATCH($B3, Volcado_Dist!$A:$A, 0), MATCH(L$2, Volcado_Dist!$1:$1, 0)) / SUM(INDEX(Volcado_Dist!$A:$ZZ, 0, MATCH(L$2, Volcado_Dist!$1:$1, 0))), 0)</f>
        <v>0</v>
      </c>
      <c r="M3" s="16">
        <f>IFERROR(INDEX(Volcado_Dist!$A:$ZZ, MATCH($B3, Volcado_Dist!$A:$A, 0), MATCH(M$2, Volcado_Dist!$1:$1, 0)) / SUM(INDEX(Volcado_Dist!$A:$ZZ, 0, MATCH(M$2, Volcado_Dist!$1:$1, 0))), 0)</f>
        <v>0</v>
      </c>
      <c r="N3" s="16">
        <f>IFERROR(INDEX(Volcado_Dist!$A:$ZZ, MATCH($B3, Volcado_Dist!$A:$A, 0), MATCH(N$2, Volcado_Dist!$1:$1, 0)) / SUM(INDEX(Volcado_Dist!$A:$ZZ, 0, MATCH(N$2, Volcado_Dist!$1:$1, 0))), 0)</f>
        <v>0</v>
      </c>
      <c r="O3" s="16">
        <f>IFERROR(INDEX(Volcado_Dist!$A:$ZZ, MATCH($B3, Volcado_Dist!$A:$A, 0), MATCH(O$2, Volcado_Dist!$1:$1, 0)) / SUM(INDEX(Volcado_Dist!$A:$ZZ, 0, MATCH(O$2, Volcado_Dist!$1:$1, 0))), 0)</f>
        <v>0</v>
      </c>
      <c r="P3" s="16">
        <f>IFERROR(INDEX(Volcado_Dist!$A:$ZZ, MATCH($B3, Volcado_Dist!$A:$A, 0), MATCH(P$2, Volcado_Dist!$1:$1, 0)) / SUM(INDEX(Volcado_Dist!$A:$ZZ, 0, MATCH(P$2, Volcado_Dist!$1:$1, 0))), 0)</f>
        <v>6.3387778700819681E-5</v>
      </c>
      <c r="Q3" s="16">
        <f>IFERROR(INDEX(Volcado_Dist!$A:$ZZ, MATCH($B3, Volcado_Dist!$A:$A, 0), MATCH(Q$2, Volcado_Dist!$1:$1, 0)) / SUM(INDEX(Volcado_Dist!$A:$ZZ, 0, MATCH(Q$2, Volcado_Dist!$1:$1, 0))), 0)</f>
        <v>0</v>
      </c>
      <c r="R3" s="16">
        <f>IFERROR(INDEX(Volcado_Dist!$A:$ZZ, MATCH($B3, Volcado_Dist!$A:$A, 0), MATCH(R$2, Volcado_Dist!$1:$1, 0)) / SUM(INDEX(Volcado_Dist!$A:$ZZ, 0, MATCH(R$2, Volcado_Dist!$1:$1, 0))), 0)</f>
        <v>0</v>
      </c>
      <c r="S3" s="16">
        <f>IFERROR(INDEX(Volcado_Dist!$A:$ZZ, MATCH($B3, Volcado_Dist!$A:$A, 0), MATCH(S$2, Volcado_Dist!$1:$1, 0)) / SUM(INDEX(Volcado_Dist!$A:$ZZ, 0, MATCH(S$2, Volcado_Dist!$1:$1, 0))), 0)</f>
        <v>0</v>
      </c>
      <c r="T3" s="16">
        <f>IFERROR(INDEX(Volcado_Dist!$A:$ZZ, MATCH($B3, Volcado_Dist!$A:$A, 0), MATCH(T$2, Volcado_Dist!$1:$1, 0)) / SUM(INDEX(Volcado_Dist!$A:$ZZ, 0, MATCH(T$2, Volcado_Dist!$1:$1, 0))), 0)</f>
        <v>0</v>
      </c>
      <c r="U3" s="16">
        <f>IFERROR(INDEX(Volcado_Dist!$A:$ZZ, MATCH($B3, Volcado_Dist!$A:$A, 0), MATCH(U$2, Volcado_Dist!$1:$1, 0)) / SUM(INDEX(Volcado_Dist!$A:$ZZ, 0, MATCH(U$2, Volcado_Dist!$1:$1, 0))), 0)</f>
        <v>0</v>
      </c>
      <c r="V3" s="16">
        <f>IFERROR(INDEX(Volcado_Dist!$A:$ZZ, MATCH($B3, Volcado_Dist!$A:$A, 0), MATCH(V$2, Volcado_Dist!$1:$1, 0)) / SUM(INDEX(Volcado_Dist!$A:$ZZ, 0, MATCH(V$2, Volcado_Dist!$1:$1, 0))), 0)</f>
        <v>1.0226609199817088E-3</v>
      </c>
      <c r="W3" s="16">
        <f>AVERAGE(C3:V3)</f>
        <v>1.0807548405878389E-4</v>
      </c>
      <c r="X3" s="17">
        <f>IFERROR(SUM(_xlfn.XLOOKUP($B3, Volcado_Vend!$A:$A, Volcado_Vend!$C:$ZZ, 0)) / SUM(Volcado_Vend!$C:$ZZ), 0)</f>
        <v>0</v>
      </c>
      <c r="Y3" s="24">
        <f t="shared" ref="Y3:Y66" si="0">AVERAGE(W3:X3)</f>
        <v>5.4037742029391943E-5</v>
      </c>
    </row>
    <row r="4" spans="2:25" x14ac:dyDescent="0.25">
      <c r="B4" s="15" t="s">
        <v>28</v>
      </c>
      <c r="C4" s="16">
        <f>IFERROR(INDEX(Volcado_Dist!$A:$ZZ, MATCH($B4, Volcado_Dist!$A:$A, 0), MATCH(C$2, Volcado_Dist!$1:$1, 0)) / SUM(INDEX(Volcado_Dist!$A:$ZZ, 0, MATCH(C$2, Volcado_Dist!$1:$1, 0))), 0)</f>
        <v>2.5724101822156703E-3</v>
      </c>
      <c r="D4" s="16">
        <f>IFERROR(INDEX(Volcado_Dist!$A:$ZZ, MATCH($B4, Volcado_Dist!$A:$A, 0), MATCH(D$2, Volcado_Dist!$1:$1, 0)) / SUM(INDEX(Volcado_Dist!$A:$ZZ, 0, MATCH(D$2, Volcado_Dist!$1:$1, 0))), 0)</f>
        <v>0</v>
      </c>
      <c r="E4" s="16">
        <f>IFERROR(INDEX(Volcado_Dist!$A:$ZZ, MATCH($B4, Volcado_Dist!$A:$A, 0), MATCH(E$2, Volcado_Dist!$1:$1, 0)) / SUM(INDEX(Volcado_Dist!$A:$ZZ, 0, MATCH(E$2, Volcado_Dist!$1:$1, 0))), 0)</f>
        <v>6.5582796129878707E-3</v>
      </c>
      <c r="F4" s="16">
        <f>IFERROR(INDEX(Volcado_Dist!$A:$ZZ, MATCH($B4, Volcado_Dist!$A:$A, 0), MATCH(F$2, Volcado_Dist!$1:$1, 0)) / SUM(INDEX(Volcado_Dist!$A:$ZZ, 0, MATCH(F$2, Volcado_Dist!$1:$1, 0))), 0)</f>
        <v>4.146027288103901E-3</v>
      </c>
      <c r="G4" s="16">
        <f>IFERROR(INDEX(Volcado_Dist!$A:$ZZ, MATCH($B4, Volcado_Dist!$A:$A, 0), MATCH(G$2, Volcado_Dist!$1:$1, 0)) / SUM(INDEX(Volcado_Dist!$A:$ZZ, 0, MATCH(G$2, Volcado_Dist!$1:$1, 0))), 0)</f>
        <v>0</v>
      </c>
      <c r="H4" s="16">
        <f>IFERROR(INDEX(Volcado_Dist!$A:$ZZ, MATCH($B4, Volcado_Dist!$A:$A, 0), MATCH(H$2, Volcado_Dist!$1:$1, 0)) / SUM(INDEX(Volcado_Dist!$A:$ZZ, 0, MATCH(H$2, Volcado_Dist!$1:$1, 0))), 0)</f>
        <v>0</v>
      </c>
      <c r="I4" s="16">
        <f>IFERROR(INDEX(Volcado_Dist!$A:$ZZ, MATCH($B4, Volcado_Dist!$A:$A, 0), MATCH(I$2, Volcado_Dist!$1:$1, 0)) / SUM(INDEX(Volcado_Dist!$A:$ZZ, 0, MATCH(I$2, Volcado_Dist!$1:$1, 0))), 0)</f>
        <v>1.1640408583917651E-3</v>
      </c>
      <c r="J4" s="16">
        <f>IFERROR(INDEX(Volcado_Dist!$A:$ZZ, MATCH($B4, Volcado_Dist!$A:$A, 0), MATCH(J$2, Volcado_Dist!$1:$1, 0)) / SUM(INDEX(Volcado_Dist!$A:$ZZ, 0, MATCH(J$2, Volcado_Dist!$1:$1, 0))), 0)</f>
        <v>0</v>
      </c>
      <c r="K4" s="16">
        <f>IFERROR(INDEX(Volcado_Dist!$A:$ZZ, MATCH($B4, Volcado_Dist!$A:$A, 0), MATCH(K$2, Volcado_Dist!$1:$1, 0)) / SUM(INDEX(Volcado_Dist!$A:$ZZ, 0, MATCH(K$2, Volcado_Dist!$1:$1, 0))), 0)</f>
        <v>1.8871152772300366E-3</v>
      </c>
      <c r="L4" s="16">
        <f>IFERROR(INDEX(Volcado_Dist!$A:$ZZ, MATCH($B4, Volcado_Dist!$A:$A, 0), MATCH(L$2, Volcado_Dist!$1:$1, 0)) / SUM(INDEX(Volcado_Dist!$A:$ZZ, 0, MATCH(L$2, Volcado_Dist!$1:$1, 0))), 0)</f>
        <v>-7.6268892336684043E-4</v>
      </c>
      <c r="M4" s="16">
        <f>IFERROR(INDEX(Volcado_Dist!$A:$ZZ, MATCH($B4, Volcado_Dist!$A:$A, 0), MATCH(M$2, Volcado_Dist!$1:$1, 0)) / SUM(INDEX(Volcado_Dist!$A:$ZZ, 0, MATCH(M$2, Volcado_Dist!$1:$1, 0))), 0)</f>
        <v>6.0403913782936291E-3</v>
      </c>
      <c r="N4" s="16">
        <f>IFERROR(INDEX(Volcado_Dist!$A:$ZZ, MATCH($B4, Volcado_Dist!$A:$A, 0), MATCH(N$2, Volcado_Dist!$1:$1, 0)) / SUM(INDEX(Volcado_Dist!$A:$ZZ, 0, MATCH(N$2, Volcado_Dist!$1:$1, 0))), 0)</f>
        <v>0</v>
      </c>
      <c r="O4" s="16">
        <f>IFERROR(INDEX(Volcado_Dist!$A:$ZZ, MATCH($B4, Volcado_Dist!$A:$A, 0), MATCH(O$2, Volcado_Dist!$1:$1, 0)) / SUM(INDEX(Volcado_Dist!$A:$ZZ, 0, MATCH(O$2, Volcado_Dist!$1:$1, 0))), 0)</f>
        <v>1.8094278476010962E-2</v>
      </c>
      <c r="P4" s="16">
        <f>IFERROR(INDEX(Volcado_Dist!$A:$ZZ, MATCH($B4, Volcado_Dist!$A:$A, 0), MATCH(P$2, Volcado_Dist!$1:$1, 0)) / SUM(INDEX(Volcado_Dist!$A:$ZZ, 0, MATCH(P$2, Volcado_Dist!$1:$1, 0))), 0)</f>
        <v>4.4130571531510671E-3</v>
      </c>
      <c r="Q4" s="16">
        <f>IFERROR(INDEX(Volcado_Dist!$A:$ZZ, MATCH($B4, Volcado_Dist!$A:$A, 0), MATCH(Q$2, Volcado_Dist!$1:$1, 0)) / SUM(INDEX(Volcado_Dist!$A:$ZZ, 0, MATCH(Q$2, Volcado_Dist!$1:$1, 0))), 0)</f>
        <v>0</v>
      </c>
      <c r="R4" s="16">
        <f>IFERROR(INDEX(Volcado_Dist!$A:$ZZ, MATCH($B4, Volcado_Dist!$A:$A, 0), MATCH(R$2, Volcado_Dist!$1:$1, 0)) / SUM(INDEX(Volcado_Dist!$A:$ZZ, 0, MATCH(R$2, Volcado_Dist!$1:$1, 0))), 0)</f>
        <v>5.4105667480189796E-3</v>
      </c>
      <c r="S4" s="16">
        <f>IFERROR(INDEX(Volcado_Dist!$A:$ZZ, MATCH($B4, Volcado_Dist!$A:$A, 0), MATCH(S$2, Volcado_Dist!$1:$1, 0)) / SUM(INDEX(Volcado_Dist!$A:$ZZ, 0, MATCH(S$2, Volcado_Dist!$1:$1, 0))), 0)</f>
        <v>2.7663021828917989E-3</v>
      </c>
      <c r="T4" s="16">
        <f>IFERROR(INDEX(Volcado_Dist!$A:$ZZ, MATCH($B4, Volcado_Dist!$A:$A, 0), MATCH(T$2, Volcado_Dist!$1:$1, 0)) / SUM(INDEX(Volcado_Dist!$A:$ZZ, 0, MATCH(T$2, Volcado_Dist!$1:$1, 0))), 0)</f>
        <v>0</v>
      </c>
      <c r="U4" s="16">
        <f>IFERROR(INDEX(Volcado_Dist!$A:$ZZ, MATCH($B4, Volcado_Dist!$A:$A, 0), MATCH(U$2, Volcado_Dist!$1:$1, 0)) / SUM(INDEX(Volcado_Dist!$A:$ZZ, 0, MATCH(U$2, Volcado_Dist!$1:$1, 0))), 0)</f>
        <v>8.1109815342572944E-3</v>
      </c>
      <c r="V4" s="16">
        <f>IFERROR(INDEX(Volcado_Dist!$A:$ZZ, MATCH($B4, Volcado_Dist!$A:$A, 0), MATCH(V$2, Volcado_Dist!$1:$1, 0)) / SUM(INDEX(Volcado_Dist!$A:$ZZ, 0, MATCH(V$2, Volcado_Dist!$1:$1, 0))), 0)</f>
        <v>6.6731836282903061E-3</v>
      </c>
      <c r="W4" s="16">
        <f t="shared" ref="W4:W67" si="1">AVERAGE(C4:V4)</f>
        <v>3.3536972698238214E-3</v>
      </c>
      <c r="X4" s="17">
        <f>IFERROR(SUM(_xlfn.XLOOKUP($B4, Volcado_Vend!$A:$A, Volcado_Vend!$C:$ZZ, 0)) / SUM(Volcado_Vend!$C:$ZZ), 0)</f>
        <v>1.855673701701922E-3</v>
      </c>
      <c r="Y4" s="24">
        <f t="shared" si="0"/>
        <v>2.6046854857628716E-3</v>
      </c>
    </row>
    <row r="5" spans="2:25" x14ac:dyDescent="0.25">
      <c r="B5" s="15" t="s">
        <v>29</v>
      </c>
      <c r="C5" s="16">
        <f>IFERROR(INDEX(Volcado_Dist!$A:$ZZ, MATCH($B5, Volcado_Dist!$A:$A, 0), MATCH(C$2, Volcado_Dist!$1:$1, 0)) / SUM(INDEX(Volcado_Dist!$A:$ZZ, 0, MATCH(C$2, Volcado_Dist!$1:$1, 0))), 0)</f>
        <v>0</v>
      </c>
      <c r="D5" s="16">
        <f>IFERROR(INDEX(Volcado_Dist!$A:$ZZ, MATCH($B5, Volcado_Dist!$A:$A, 0), MATCH(D$2, Volcado_Dist!$1:$1, 0)) / SUM(INDEX(Volcado_Dist!$A:$ZZ, 0, MATCH(D$2, Volcado_Dist!$1:$1, 0))), 0)</f>
        <v>0</v>
      </c>
      <c r="E5" s="16">
        <f>IFERROR(INDEX(Volcado_Dist!$A:$ZZ, MATCH($B5, Volcado_Dist!$A:$A, 0), MATCH(E$2, Volcado_Dist!$1:$1, 0)) / SUM(INDEX(Volcado_Dist!$A:$ZZ, 0, MATCH(E$2, Volcado_Dist!$1:$1, 0))), 0)</f>
        <v>1.6168287928014793E-3</v>
      </c>
      <c r="F5" s="16">
        <f>IFERROR(INDEX(Volcado_Dist!$A:$ZZ, MATCH($B5, Volcado_Dist!$A:$A, 0), MATCH(F$2, Volcado_Dist!$1:$1, 0)) / SUM(INDEX(Volcado_Dist!$A:$ZZ, 0, MATCH(F$2, Volcado_Dist!$1:$1, 0))), 0)</f>
        <v>-7.2330985702989412E-5</v>
      </c>
      <c r="G5" s="16">
        <f>IFERROR(INDEX(Volcado_Dist!$A:$ZZ, MATCH($B5, Volcado_Dist!$A:$A, 0), MATCH(G$2, Volcado_Dist!$1:$1, 0)) / SUM(INDEX(Volcado_Dist!$A:$ZZ, 0, MATCH(G$2, Volcado_Dist!$1:$1, 0))), 0)</f>
        <v>0</v>
      </c>
      <c r="H5" s="16">
        <f>IFERROR(INDEX(Volcado_Dist!$A:$ZZ, MATCH($B5, Volcado_Dist!$A:$A, 0), MATCH(H$2, Volcado_Dist!$1:$1, 0)) / SUM(INDEX(Volcado_Dist!$A:$ZZ, 0, MATCH(H$2, Volcado_Dist!$1:$1, 0))), 0)</f>
        <v>0</v>
      </c>
      <c r="I5" s="16">
        <f>IFERROR(INDEX(Volcado_Dist!$A:$ZZ, MATCH($B5, Volcado_Dist!$A:$A, 0), MATCH(I$2, Volcado_Dist!$1:$1, 0)) / SUM(INDEX(Volcado_Dist!$A:$ZZ, 0, MATCH(I$2, Volcado_Dist!$1:$1, 0))), 0)</f>
        <v>7.7873376097649491E-4</v>
      </c>
      <c r="J5" s="16">
        <f>IFERROR(INDEX(Volcado_Dist!$A:$ZZ, MATCH($B5, Volcado_Dist!$A:$A, 0), MATCH(J$2, Volcado_Dist!$1:$1, 0)) / SUM(INDEX(Volcado_Dist!$A:$ZZ, 0, MATCH(J$2, Volcado_Dist!$1:$1, 0))), 0)</f>
        <v>0</v>
      </c>
      <c r="K5" s="16">
        <f>IFERROR(INDEX(Volcado_Dist!$A:$ZZ, MATCH($B5, Volcado_Dist!$A:$A, 0), MATCH(K$2, Volcado_Dist!$1:$1, 0)) / SUM(INDEX(Volcado_Dist!$A:$ZZ, 0, MATCH(K$2, Volcado_Dist!$1:$1, 0))), 0)</f>
        <v>9.1553564190478181E-4</v>
      </c>
      <c r="L5" s="16">
        <f>IFERROR(INDEX(Volcado_Dist!$A:$ZZ, MATCH($B5, Volcado_Dist!$A:$A, 0), MATCH(L$2, Volcado_Dist!$1:$1, 0)) / SUM(INDEX(Volcado_Dist!$A:$ZZ, 0, MATCH(L$2, Volcado_Dist!$1:$1, 0))), 0)</f>
        <v>0</v>
      </c>
      <c r="M5" s="16">
        <f>IFERROR(INDEX(Volcado_Dist!$A:$ZZ, MATCH($B5, Volcado_Dist!$A:$A, 0), MATCH(M$2, Volcado_Dist!$1:$1, 0)) / SUM(INDEX(Volcado_Dist!$A:$ZZ, 0, MATCH(M$2, Volcado_Dist!$1:$1, 0))), 0)</f>
        <v>1.1984069215549488E-3</v>
      </c>
      <c r="N5" s="16">
        <f>IFERROR(INDEX(Volcado_Dist!$A:$ZZ, MATCH($B5, Volcado_Dist!$A:$A, 0), MATCH(N$2, Volcado_Dist!$1:$1, 0)) / SUM(INDEX(Volcado_Dist!$A:$ZZ, 0, MATCH(N$2, Volcado_Dist!$1:$1, 0))), 0)</f>
        <v>0</v>
      </c>
      <c r="O5" s="16">
        <f>IFERROR(INDEX(Volcado_Dist!$A:$ZZ, MATCH($B5, Volcado_Dist!$A:$A, 0), MATCH(O$2, Volcado_Dist!$1:$1, 0)) / SUM(INDEX(Volcado_Dist!$A:$ZZ, 0, MATCH(O$2, Volcado_Dist!$1:$1, 0))), 0)</f>
        <v>-2.7947748011371553E-4</v>
      </c>
      <c r="P5" s="16">
        <f>IFERROR(INDEX(Volcado_Dist!$A:$ZZ, MATCH($B5, Volcado_Dist!$A:$A, 0), MATCH(P$2, Volcado_Dist!$1:$1, 0)) / SUM(INDEX(Volcado_Dist!$A:$ZZ, 0, MATCH(P$2, Volcado_Dist!$1:$1, 0))), 0)</f>
        <v>7.583713843766068E-4</v>
      </c>
      <c r="Q5" s="16">
        <f>IFERROR(INDEX(Volcado_Dist!$A:$ZZ, MATCH($B5, Volcado_Dist!$A:$A, 0), MATCH(Q$2, Volcado_Dist!$1:$1, 0)) / SUM(INDEX(Volcado_Dist!$A:$ZZ, 0, MATCH(Q$2, Volcado_Dist!$1:$1, 0))), 0)</f>
        <v>-1.6498051154193282E-4</v>
      </c>
      <c r="R5" s="16">
        <f>IFERROR(INDEX(Volcado_Dist!$A:$ZZ, MATCH($B5, Volcado_Dist!$A:$A, 0), MATCH(R$2, Volcado_Dist!$1:$1, 0)) / SUM(INDEX(Volcado_Dist!$A:$ZZ, 0, MATCH(R$2, Volcado_Dist!$1:$1, 0))), 0)</f>
        <v>0</v>
      </c>
      <c r="S5" s="16">
        <f>IFERROR(INDEX(Volcado_Dist!$A:$ZZ, MATCH($B5, Volcado_Dist!$A:$A, 0), MATCH(S$2, Volcado_Dist!$1:$1, 0)) / SUM(INDEX(Volcado_Dist!$A:$ZZ, 0, MATCH(S$2, Volcado_Dist!$1:$1, 0))), 0)</f>
        <v>2.1219429705186948E-4</v>
      </c>
      <c r="T5" s="16">
        <f>IFERROR(INDEX(Volcado_Dist!$A:$ZZ, MATCH($B5, Volcado_Dist!$A:$A, 0), MATCH(T$2, Volcado_Dist!$1:$1, 0)) / SUM(INDEX(Volcado_Dist!$A:$ZZ, 0, MATCH(T$2, Volcado_Dist!$1:$1, 0))), 0)</f>
        <v>0</v>
      </c>
      <c r="U5" s="16">
        <f>IFERROR(INDEX(Volcado_Dist!$A:$ZZ, MATCH($B5, Volcado_Dist!$A:$A, 0), MATCH(U$2, Volcado_Dist!$1:$1, 0)) / SUM(INDEX(Volcado_Dist!$A:$ZZ, 0, MATCH(U$2, Volcado_Dist!$1:$1, 0))), 0)</f>
        <v>0</v>
      </c>
      <c r="V5" s="16">
        <f>IFERROR(INDEX(Volcado_Dist!$A:$ZZ, MATCH($B5, Volcado_Dist!$A:$A, 0), MATCH(V$2, Volcado_Dist!$1:$1, 0)) / SUM(INDEX(Volcado_Dist!$A:$ZZ, 0, MATCH(V$2, Volcado_Dist!$1:$1, 0))), 0)</f>
        <v>2.2528182585104307E-4</v>
      </c>
      <c r="W5" s="16">
        <f t="shared" si="1"/>
        <v>2.5942818235792935E-4</v>
      </c>
      <c r="X5" s="17">
        <f>IFERROR(SUM(_xlfn.XLOOKUP($B5, Volcado_Vend!$A:$A, Volcado_Vend!$C:$ZZ, 0)) / SUM(Volcado_Vend!$C:$ZZ), 0)</f>
        <v>8.3743120624170438E-3</v>
      </c>
      <c r="Y5" s="24">
        <f t="shared" si="0"/>
        <v>4.3168701223874869E-3</v>
      </c>
    </row>
    <row r="6" spans="2:25" x14ac:dyDescent="0.25">
      <c r="B6" s="15" t="s">
        <v>30</v>
      </c>
      <c r="C6" s="16">
        <f>IFERROR(INDEX(Volcado_Dist!$A:$ZZ, MATCH($B6, Volcado_Dist!$A:$A, 0), MATCH(C$2, Volcado_Dist!$1:$1, 0)) / SUM(INDEX(Volcado_Dist!$A:$ZZ, 0, MATCH(C$2, Volcado_Dist!$1:$1, 0))), 0)</f>
        <v>1.6517228183317014E-3</v>
      </c>
      <c r="D6" s="16">
        <f>IFERROR(INDEX(Volcado_Dist!$A:$ZZ, MATCH($B6, Volcado_Dist!$A:$A, 0), MATCH(D$2, Volcado_Dist!$1:$1, 0)) / SUM(INDEX(Volcado_Dist!$A:$ZZ, 0, MATCH(D$2, Volcado_Dist!$1:$1, 0))), 0)</f>
        <v>0</v>
      </c>
      <c r="E6" s="16">
        <f>IFERROR(INDEX(Volcado_Dist!$A:$ZZ, MATCH($B6, Volcado_Dist!$A:$A, 0), MATCH(E$2, Volcado_Dist!$1:$1, 0)) / SUM(INDEX(Volcado_Dist!$A:$ZZ, 0, MATCH(E$2, Volcado_Dist!$1:$1, 0))), 0)</f>
        <v>0</v>
      </c>
      <c r="F6" s="16">
        <f>IFERROR(INDEX(Volcado_Dist!$A:$ZZ, MATCH($B6, Volcado_Dist!$A:$A, 0), MATCH(F$2, Volcado_Dist!$1:$1, 0)) / SUM(INDEX(Volcado_Dist!$A:$ZZ, 0, MATCH(F$2, Volcado_Dist!$1:$1, 0))), 0)</f>
        <v>-2.8029727081365811E-20</v>
      </c>
      <c r="G6" s="16">
        <f>IFERROR(INDEX(Volcado_Dist!$A:$ZZ, MATCH($B6, Volcado_Dist!$A:$A, 0), MATCH(G$2, Volcado_Dist!$1:$1, 0)) / SUM(INDEX(Volcado_Dist!$A:$ZZ, 0, MATCH(G$2, Volcado_Dist!$1:$1, 0))), 0)</f>
        <v>0</v>
      </c>
      <c r="H6" s="16">
        <f>IFERROR(INDEX(Volcado_Dist!$A:$ZZ, MATCH($B6, Volcado_Dist!$A:$A, 0), MATCH(H$2, Volcado_Dist!$1:$1, 0)) / SUM(INDEX(Volcado_Dist!$A:$ZZ, 0, MATCH(H$2, Volcado_Dist!$1:$1, 0))), 0)</f>
        <v>0</v>
      </c>
      <c r="I6" s="16">
        <f>IFERROR(INDEX(Volcado_Dist!$A:$ZZ, MATCH($B6, Volcado_Dist!$A:$A, 0), MATCH(I$2, Volcado_Dist!$1:$1, 0)) / SUM(INDEX(Volcado_Dist!$A:$ZZ, 0, MATCH(I$2, Volcado_Dist!$1:$1, 0))), 0)</f>
        <v>1.45372144971253E-4</v>
      </c>
      <c r="J6" s="16">
        <f>IFERROR(INDEX(Volcado_Dist!$A:$ZZ, MATCH($B6, Volcado_Dist!$A:$A, 0), MATCH(J$2, Volcado_Dist!$1:$1, 0)) / SUM(INDEX(Volcado_Dist!$A:$ZZ, 0, MATCH(J$2, Volcado_Dist!$1:$1, 0))), 0)</f>
        <v>0</v>
      </c>
      <c r="K6" s="16">
        <f>IFERROR(INDEX(Volcado_Dist!$A:$ZZ, MATCH($B6, Volcado_Dist!$A:$A, 0), MATCH(K$2, Volcado_Dist!$1:$1, 0)) / SUM(INDEX(Volcado_Dist!$A:$ZZ, 0, MATCH(K$2, Volcado_Dist!$1:$1, 0))), 0)</f>
        <v>9.197427050878544E-4</v>
      </c>
      <c r="L6" s="16">
        <f>IFERROR(INDEX(Volcado_Dist!$A:$ZZ, MATCH($B6, Volcado_Dist!$A:$A, 0), MATCH(L$2, Volcado_Dist!$1:$1, 0)) / SUM(INDEX(Volcado_Dist!$A:$ZZ, 0, MATCH(L$2, Volcado_Dist!$1:$1, 0))), 0)</f>
        <v>0</v>
      </c>
      <c r="M6" s="16">
        <f>IFERROR(INDEX(Volcado_Dist!$A:$ZZ, MATCH($B6, Volcado_Dist!$A:$A, 0), MATCH(M$2, Volcado_Dist!$1:$1, 0)) / SUM(INDEX(Volcado_Dist!$A:$ZZ, 0, MATCH(M$2, Volcado_Dist!$1:$1, 0))), 0)</f>
        <v>0</v>
      </c>
      <c r="N6" s="16">
        <f>IFERROR(INDEX(Volcado_Dist!$A:$ZZ, MATCH($B6, Volcado_Dist!$A:$A, 0), MATCH(N$2, Volcado_Dist!$1:$1, 0)) / SUM(INDEX(Volcado_Dist!$A:$ZZ, 0, MATCH(N$2, Volcado_Dist!$1:$1, 0))), 0)</f>
        <v>0</v>
      </c>
      <c r="O6" s="16">
        <f>IFERROR(INDEX(Volcado_Dist!$A:$ZZ, MATCH($B6, Volcado_Dist!$A:$A, 0), MATCH(O$2, Volcado_Dist!$1:$1, 0)) / SUM(INDEX(Volcado_Dist!$A:$ZZ, 0, MATCH(O$2, Volcado_Dist!$1:$1, 0))), 0)</f>
        <v>0</v>
      </c>
      <c r="P6" s="16">
        <f>IFERROR(INDEX(Volcado_Dist!$A:$ZZ, MATCH($B6, Volcado_Dist!$A:$A, 0), MATCH(P$2, Volcado_Dist!$1:$1, 0)) / SUM(INDEX(Volcado_Dist!$A:$ZZ, 0, MATCH(P$2, Volcado_Dist!$1:$1, 0))), 0)</f>
        <v>2.60785773278999E-3</v>
      </c>
      <c r="Q6" s="16">
        <f>IFERROR(INDEX(Volcado_Dist!$A:$ZZ, MATCH($B6, Volcado_Dist!$A:$A, 0), MATCH(Q$2, Volcado_Dist!$1:$1, 0)) / SUM(INDEX(Volcado_Dist!$A:$ZZ, 0, MATCH(Q$2, Volcado_Dist!$1:$1, 0))), 0)</f>
        <v>0</v>
      </c>
      <c r="R6" s="16">
        <f>IFERROR(INDEX(Volcado_Dist!$A:$ZZ, MATCH($B6, Volcado_Dist!$A:$A, 0), MATCH(R$2, Volcado_Dist!$1:$1, 0)) / SUM(INDEX(Volcado_Dist!$A:$ZZ, 0, MATCH(R$2, Volcado_Dist!$1:$1, 0))), 0)</f>
        <v>0</v>
      </c>
      <c r="S6" s="16">
        <f>IFERROR(INDEX(Volcado_Dist!$A:$ZZ, MATCH($B6, Volcado_Dist!$A:$A, 0), MATCH(S$2, Volcado_Dist!$1:$1, 0)) / SUM(INDEX(Volcado_Dist!$A:$ZZ, 0, MATCH(S$2, Volcado_Dist!$1:$1, 0))), 0)</f>
        <v>0</v>
      </c>
      <c r="T6" s="16">
        <f>IFERROR(INDEX(Volcado_Dist!$A:$ZZ, MATCH($B6, Volcado_Dist!$A:$A, 0), MATCH(T$2, Volcado_Dist!$1:$1, 0)) / SUM(INDEX(Volcado_Dist!$A:$ZZ, 0, MATCH(T$2, Volcado_Dist!$1:$1, 0))), 0)</f>
        <v>1.3145563308082135E-5</v>
      </c>
      <c r="U6" s="16">
        <f>IFERROR(INDEX(Volcado_Dist!$A:$ZZ, MATCH($B6, Volcado_Dist!$A:$A, 0), MATCH(U$2, Volcado_Dist!$1:$1, 0)) / SUM(INDEX(Volcado_Dist!$A:$ZZ, 0, MATCH(U$2, Volcado_Dist!$1:$1, 0))), 0)</f>
        <v>0</v>
      </c>
      <c r="V6" s="16">
        <f>IFERROR(INDEX(Volcado_Dist!$A:$ZZ, MATCH($B6, Volcado_Dist!$A:$A, 0), MATCH(V$2, Volcado_Dist!$1:$1, 0)) / SUM(INDEX(Volcado_Dist!$A:$ZZ, 0, MATCH(V$2, Volcado_Dist!$1:$1, 0))), 0)</f>
        <v>0</v>
      </c>
      <c r="W6" s="16">
        <f t="shared" si="1"/>
        <v>2.668920482244441E-4</v>
      </c>
      <c r="X6" s="17">
        <f>IFERROR(SUM(_xlfn.XLOOKUP($B6, Volcado_Vend!$A:$A, Volcado_Vend!$C:$ZZ, 0)) / SUM(Volcado_Vend!$C:$ZZ), 0)</f>
        <v>0</v>
      </c>
      <c r="Y6" s="24">
        <f t="shared" si="0"/>
        <v>1.3344602411222205E-4</v>
      </c>
    </row>
    <row r="7" spans="2:25" x14ac:dyDescent="0.25">
      <c r="B7" s="15" t="s">
        <v>31</v>
      </c>
      <c r="C7" s="16">
        <f>IFERROR(INDEX(Volcado_Dist!$A:$ZZ, MATCH($B7, Volcado_Dist!$A:$A, 0), MATCH(C$2, Volcado_Dist!$1:$1, 0)) / SUM(INDEX(Volcado_Dist!$A:$ZZ, 0, MATCH(C$2, Volcado_Dist!$1:$1, 0))), 0)</f>
        <v>0</v>
      </c>
      <c r="D7" s="16">
        <f>IFERROR(INDEX(Volcado_Dist!$A:$ZZ, MATCH($B7, Volcado_Dist!$A:$A, 0), MATCH(D$2, Volcado_Dist!$1:$1, 0)) / SUM(INDEX(Volcado_Dist!$A:$ZZ, 0, MATCH(D$2, Volcado_Dist!$1:$1, 0))), 0)</f>
        <v>0</v>
      </c>
      <c r="E7" s="16">
        <f>IFERROR(INDEX(Volcado_Dist!$A:$ZZ, MATCH($B7, Volcado_Dist!$A:$A, 0), MATCH(E$2, Volcado_Dist!$1:$1, 0)) / SUM(INDEX(Volcado_Dist!$A:$ZZ, 0, MATCH(E$2, Volcado_Dist!$1:$1, 0))), 0)</f>
        <v>0</v>
      </c>
      <c r="F7" s="16">
        <f>IFERROR(INDEX(Volcado_Dist!$A:$ZZ, MATCH($B7, Volcado_Dist!$A:$A, 0), MATCH(F$2, Volcado_Dist!$1:$1, 0)) / SUM(INDEX(Volcado_Dist!$A:$ZZ, 0, MATCH(F$2, Volcado_Dist!$1:$1, 0))), 0)</f>
        <v>0</v>
      </c>
      <c r="G7" s="16">
        <f>IFERROR(INDEX(Volcado_Dist!$A:$ZZ, MATCH($B7, Volcado_Dist!$A:$A, 0), MATCH(G$2, Volcado_Dist!$1:$1, 0)) / SUM(INDEX(Volcado_Dist!$A:$ZZ, 0, MATCH(G$2, Volcado_Dist!$1:$1, 0))), 0)</f>
        <v>0</v>
      </c>
      <c r="H7" s="16">
        <f>IFERROR(INDEX(Volcado_Dist!$A:$ZZ, MATCH($B7, Volcado_Dist!$A:$A, 0), MATCH(H$2, Volcado_Dist!$1:$1, 0)) / SUM(INDEX(Volcado_Dist!$A:$ZZ, 0, MATCH(H$2, Volcado_Dist!$1:$1, 0))), 0)</f>
        <v>0</v>
      </c>
      <c r="I7" s="16">
        <f>IFERROR(INDEX(Volcado_Dist!$A:$ZZ, MATCH($B7, Volcado_Dist!$A:$A, 0), MATCH(I$2, Volcado_Dist!$1:$1, 0)) / SUM(INDEX(Volcado_Dist!$A:$ZZ, 0, MATCH(I$2, Volcado_Dist!$1:$1, 0))), 0)</f>
        <v>-2.0125085828218601E-5</v>
      </c>
      <c r="J7" s="16">
        <f>IFERROR(INDEX(Volcado_Dist!$A:$ZZ, MATCH($B7, Volcado_Dist!$A:$A, 0), MATCH(J$2, Volcado_Dist!$1:$1, 0)) / SUM(INDEX(Volcado_Dist!$A:$ZZ, 0, MATCH(J$2, Volcado_Dist!$1:$1, 0))), 0)</f>
        <v>0</v>
      </c>
      <c r="K7" s="16">
        <f>IFERROR(INDEX(Volcado_Dist!$A:$ZZ, MATCH($B7, Volcado_Dist!$A:$A, 0), MATCH(K$2, Volcado_Dist!$1:$1, 0)) / SUM(INDEX(Volcado_Dist!$A:$ZZ, 0, MATCH(K$2, Volcado_Dist!$1:$1, 0))), 0)</f>
        <v>6.2651948122017211E-5</v>
      </c>
      <c r="L7" s="16">
        <f>IFERROR(INDEX(Volcado_Dist!$A:$ZZ, MATCH($B7, Volcado_Dist!$A:$A, 0), MATCH(L$2, Volcado_Dist!$1:$1, 0)) / SUM(INDEX(Volcado_Dist!$A:$ZZ, 0, MATCH(L$2, Volcado_Dist!$1:$1, 0))), 0)</f>
        <v>0</v>
      </c>
      <c r="M7" s="16">
        <f>IFERROR(INDEX(Volcado_Dist!$A:$ZZ, MATCH($B7, Volcado_Dist!$A:$A, 0), MATCH(M$2, Volcado_Dist!$1:$1, 0)) / SUM(INDEX(Volcado_Dist!$A:$ZZ, 0, MATCH(M$2, Volcado_Dist!$1:$1, 0))), 0)</f>
        <v>0</v>
      </c>
      <c r="N7" s="16">
        <f>IFERROR(INDEX(Volcado_Dist!$A:$ZZ, MATCH($B7, Volcado_Dist!$A:$A, 0), MATCH(N$2, Volcado_Dist!$1:$1, 0)) / SUM(INDEX(Volcado_Dist!$A:$ZZ, 0, MATCH(N$2, Volcado_Dist!$1:$1, 0))), 0)</f>
        <v>0</v>
      </c>
      <c r="O7" s="16">
        <f>IFERROR(INDEX(Volcado_Dist!$A:$ZZ, MATCH($B7, Volcado_Dist!$A:$A, 0), MATCH(O$2, Volcado_Dist!$1:$1, 0)) / SUM(INDEX(Volcado_Dist!$A:$ZZ, 0, MATCH(O$2, Volcado_Dist!$1:$1, 0))), 0)</f>
        <v>0</v>
      </c>
      <c r="P7" s="16">
        <f>IFERROR(INDEX(Volcado_Dist!$A:$ZZ, MATCH($B7, Volcado_Dist!$A:$A, 0), MATCH(P$2, Volcado_Dist!$1:$1, 0)) / SUM(INDEX(Volcado_Dist!$A:$ZZ, 0, MATCH(P$2, Volcado_Dist!$1:$1, 0))), 0)</f>
        <v>0</v>
      </c>
      <c r="Q7" s="16">
        <f>IFERROR(INDEX(Volcado_Dist!$A:$ZZ, MATCH($B7, Volcado_Dist!$A:$A, 0), MATCH(Q$2, Volcado_Dist!$1:$1, 0)) / SUM(INDEX(Volcado_Dist!$A:$ZZ, 0, MATCH(Q$2, Volcado_Dist!$1:$1, 0))), 0)</f>
        <v>0</v>
      </c>
      <c r="R7" s="16">
        <f>IFERROR(INDEX(Volcado_Dist!$A:$ZZ, MATCH($B7, Volcado_Dist!$A:$A, 0), MATCH(R$2, Volcado_Dist!$1:$1, 0)) / SUM(INDEX(Volcado_Dist!$A:$ZZ, 0, MATCH(R$2, Volcado_Dist!$1:$1, 0))), 0)</f>
        <v>0</v>
      </c>
      <c r="S7" s="16">
        <f>IFERROR(INDEX(Volcado_Dist!$A:$ZZ, MATCH($B7, Volcado_Dist!$A:$A, 0), MATCH(S$2, Volcado_Dist!$1:$1, 0)) / SUM(INDEX(Volcado_Dist!$A:$ZZ, 0, MATCH(S$2, Volcado_Dist!$1:$1, 0))), 0)</f>
        <v>0</v>
      </c>
      <c r="T7" s="16">
        <f>IFERROR(INDEX(Volcado_Dist!$A:$ZZ, MATCH($B7, Volcado_Dist!$A:$A, 0), MATCH(T$2, Volcado_Dist!$1:$1, 0)) / SUM(INDEX(Volcado_Dist!$A:$ZZ, 0, MATCH(T$2, Volcado_Dist!$1:$1, 0))), 0)</f>
        <v>0</v>
      </c>
      <c r="U7" s="16">
        <f>IFERROR(INDEX(Volcado_Dist!$A:$ZZ, MATCH($B7, Volcado_Dist!$A:$A, 0), MATCH(U$2, Volcado_Dist!$1:$1, 0)) / SUM(INDEX(Volcado_Dist!$A:$ZZ, 0, MATCH(U$2, Volcado_Dist!$1:$1, 0))), 0)</f>
        <v>0</v>
      </c>
      <c r="V7" s="16">
        <f>IFERROR(INDEX(Volcado_Dist!$A:$ZZ, MATCH($B7, Volcado_Dist!$A:$A, 0), MATCH(V$2, Volcado_Dist!$1:$1, 0)) / SUM(INDEX(Volcado_Dist!$A:$ZZ, 0, MATCH(V$2, Volcado_Dist!$1:$1, 0))), 0)</f>
        <v>0</v>
      </c>
      <c r="W7" s="16">
        <f t="shared" si="1"/>
        <v>2.1263431146899306E-6</v>
      </c>
      <c r="X7" s="17">
        <f>IFERROR(SUM(_xlfn.XLOOKUP($B7, Volcado_Vend!$A:$A, Volcado_Vend!$C:$ZZ, 0)) / SUM(Volcado_Vend!$C:$ZZ), 0)</f>
        <v>1.2723450059739367E-4</v>
      </c>
      <c r="Y7" s="24">
        <f t="shared" si="0"/>
        <v>6.4680421856041796E-5</v>
      </c>
    </row>
    <row r="8" spans="2:25" x14ac:dyDescent="0.25">
      <c r="B8" s="15" t="s">
        <v>32</v>
      </c>
      <c r="C8" s="16">
        <f>IFERROR(INDEX(Volcado_Dist!$A:$ZZ, MATCH($B8, Volcado_Dist!$A:$A, 0), MATCH(C$2, Volcado_Dist!$1:$1, 0)) / SUM(INDEX(Volcado_Dist!$A:$ZZ, 0, MATCH(C$2, Volcado_Dist!$1:$1, 0))), 0)</f>
        <v>0</v>
      </c>
      <c r="D8" s="16">
        <f>IFERROR(INDEX(Volcado_Dist!$A:$ZZ, MATCH($B8, Volcado_Dist!$A:$A, 0), MATCH(D$2, Volcado_Dist!$1:$1, 0)) / SUM(INDEX(Volcado_Dist!$A:$ZZ, 0, MATCH(D$2, Volcado_Dist!$1:$1, 0))), 0)</f>
        <v>0</v>
      </c>
      <c r="E8" s="16">
        <f>IFERROR(INDEX(Volcado_Dist!$A:$ZZ, MATCH($B8, Volcado_Dist!$A:$A, 0), MATCH(E$2, Volcado_Dist!$1:$1, 0)) / SUM(INDEX(Volcado_Dist!$A:$ZZ, 0, MATCH(E$2, Volcado_Dist!$1:$1, 0))), 0)</f>
        <v>4.7991584802202633E-3</v>
      </c>
      <c r="F8" s="16">
        <f>IFERROR(INDEX(Volcado_Dist!$A:$ZZ, MATCH($B8, Volcado_Dist!$A:$A, 0), MATCH(F$2, Volcado_Dist!$1:$1, 0)) / SUM(INDEX(Volcado_Dist!$A:$ZZ, 0, MATCH(F$2, Volcado_Dist!$1:$1, 0))), 0)</f>
        <v>3.6211055677134391E-3</v>
      </c>
      <c r="G8" s="16">
        <f>IFERROR(INDEX(Volcado_Dist!$A:$ZZ, MATCH($B8, Volcado_Dist!$A:$A, 0), MATCH(G$2, Volcado_Dist!$1:$1, 0)) / SUM(INDEX(Volcado_Dist!$A:$ZZ, 0, MATCH(G$2, Volcado_Dist!$1:$1, 0))), 0)</f>
        <v>0</v>
      </c>
      <c r="H8" s="16">
        <f>IFERROR(INDEX(Volcado_Dist!$A:$ZZ, MATCH($B8, Volcado_Dist!$A:$A, 0), MATCH(H$2, Volcado_Dist!$1:$1, 0)) / SUM(INDEX(Volcado_Dist!$A:$ZZ, 0, MATCH(H$2, Volcado_Dist!$1:$1, 0))), 0)</f>
        <v>0</v>
      </c>
      <c r="I8" s="16">
        <f>IFERROR(INDEX(Volcado_Dist!$A:$ZZ, MATCH($B8, Volcado_Dist!$A:$A, 0), MATCH(I$2, Volcado_Dist!$1:$1, 0)) / SUM(INDEX(Volcado_Dist!$A:$ZZ, 0, MATCH(I$2, Volcado_Dist!$1:$1, 0))), 0)</f>
        <v>7.8967921979420878E-3</v>
      </c>
      <c r="J8" s="16">
        <f>IFERROR(INDEX(Volcado_Dist!$A:$ZZ, MATCH($B8, Volcado_Dist!$A:$A, 0), MATCH(J$2, Volcado_Dist!$1:$1, 0)) / SUM(INDEX(Volcado_Dist!$A:$ZZ, 0, MATCH(J$2, Volcado_Dist!$1:$1, 0))), 0)</f>
        <v>0</v>
      </c>
      <c r="K8" s="16">
        <f>IFERROR(INDEX(Volcado_Dist!$A:$ZZ, MATCH($B8, Volcado_Dist!$A:$A, 0), MATCH(K$2, Volcado_Dist!$1:$1, 0)) / SUM(INDEX(Volcado_Dist!$A:$ZZ, 0, MATCH(K$2, Volcado_Dist!$1:$1, 0))), 0)</f>
        <v>4.0241618678546138E-3</v>
      </c>
      <c r="L8" s="16">
        <f>IFERROR(INDEX(Volcado_Dist!$A:$ZZ, MATCH($B8, Volcado_Dist!$A:$A, 0), MATCH(L$2, Volcado_Dist!$1:$1, 0)) / SUM(INDEX(Volcado_Dist!$A:$ZZ, 0, MATCH(L$2, Volcado_Dist!$1:$1, 0))), 0)</f>
        <v>0</v>
      </c>
      <c r="M8" s="16">
        <f>IFERROR(INDEX(Volcado_Dist!$A:$ZZ, MATCH($B8, Volcado_Dist!$A:$A, 0), MATCH(M$2, Volcado_Dist!$1:$1, 0)) / SUM(INDEX(Volcado_Dist!$A:$ZZ, 0, MATCH(M$2, Volcado_Dist!$1:$1, 0))), 0)</f>
        <v>-2.0640982372571422E-3</v>
      </c>
      <c r="N8" s="16">
        <f>IFERROR(INDEX(Volcado_Dist!$A:$ZZ, MATCH($B8, Volcado_Dist!$A:$A, 0), MATCH(N$2, Volcado_Dist!$1:$1, 0)) / SUM(INDEX(Volcado_Dist!$A:$ZZ, 0, MATCH(N$2, Volcado_Dist!$1:$1, 0))), 0)</f>
        <v>0</v>
      </c>
      <c r="O8" s="16">
        <f>IFERROR(INDEX(Volcado_Dist!$A:$ZZ, MATCH($B8, Volcado_Dist!$A:$A, 0), MATCH(O$2, Volcado_Dist!$1:$1, 0)) / SUM(INDEX(Volcado_Dist!$A:$ZZ, 0, MATCH(O$2, Volcado_Dist!$1:$1, 0))), 0)</f>
        <v>1.0593707185391516E-3</v>
      </c>
      <c r="P8" s="16">
        <f>IFERROR(INDEX(Volcado_Dist!$A:$ZZ, MATCH($B8, Volcado_Dist!$A:$A, 0), MATCH(P$2, Volcado_Dist!$1:$1, 0)) / SUM(INDEX(Volcado_Dist!$A:$ZZ, 0, MATCH(P$2, Volcado_Dist!$1:$1, 0))), 0)</f>
        <v>6.9224525363591151E-3</v>
      </c>
      <c r="Q8" s="16">
        <f>IFERROR(INDEX(Volcado_Dist!$A:$ZZ, MATCH($B8, Volcado_Dist!$A:$A, 0), MATCH(Q$2, Volcado_Dist!$1:$1, 0)) / SUM(INDEX(Volcado_Dist!$A:$ZZ, 0, MATCH(Q$2, Volcado_Dist!$1:$1, 0))), 0)</f>
        <v>2.2077116893125068E-2</v>
      </c>
      <c r="R8" s="16">
        <f>IFERROR(INDEX(Volcado_Dist!$A:$ZZ, MATCH($B8, Volcado_Dist!$A:$A, 0), MATCH(R$2, Volcado_Dist!$1:$1, 0)) / SUM(INDEX(Volcado_Dist!$A:$ZZ, 0, MATCH(R$2, Volcado_Dist!$1:$1, 0))), 0)</f>
        <v>0</v>
      </c>
      <c r="S8" s="16">
        <f>IFERROR(INDEX(Volcado_Dist!$A:$ZZ, MATCH($B8, Volcado_Dist!$A:$A, 0), MATCH(S$2, Volcado_Dist!$1:$1, 0)) / SUM(INDEX(Volcado_Dist!$A:$ZZ, 0, MATCH(S$2, Volcado_Dist!$1:$1, 0))), 0)</f>
        <v>9.7460468365227065E-4</v>
      </c>
      <c r="T8" s="16">
        <f>IFERROR(INDEX(Volcado_Dist!$A:$ZZ, MATCH($B8, Volcado_Dist!$A:$A, 0), MATCH(T$2, Volcado_Dist!$1:$1, 0)) / SUM(INDEX(Volcado_Dist!$A:$ZZ, 0, MATCH(T$2, Volcado_Dist!$1:$1, 0))), 0)</f>
        <v>3.2506729477689679E-3</v>
      </c>
      <c r="U8" s="16">
        <f>IFERROR(INDEX(Volcado_Dist!$A:$ZZ, MATCH($B8, Volcado_Dist!$A:$A, 0), MATCH(U$2, Volcado_Dist!$1:$1, 0)) / SUM(INDEX(Volcado_Dist!$A:$ZZ, 0, MATCH(U$2, Volcado_Dist!$1:$1, 0))), 0)</f>
        <v>0</v>
      </c>
      <c r="V8" s="16">
        <f>IFERROR(INDEX(Volcado_Dist!$A:$ZZ, MATCH($B8, Volcado_Dist!$A:$A, 0), MATCH(V$2, Volcado_Dist!$1:$1, 0)) / SUM(INDEX(Volcado_Dist!$A:$ZZ, 0, MATCH(V$2, Volcado_Dist!$1:$1, 0))), 0)</f>
        <v>3.3258711658535568E-3</v>
      </c>
      <c r="W8" s="16">
        <f t="shared" si="1"/>
        <v>2.7943604410885698E-3</v>
      </c>
      <c r="X8" s="17">
        <f>IFERROR(SUM(_xlfn.XLOOKUP($B8, Volcado_Vend!$A:$A, Volcado_Vend!$C:$ZZ, 0)) / SUM(Volcado_Vend!$C:$ZZ), 0)</f>
        <v>3.8249595145351035E-3</v>
      </c>
      <c r="Y8" s="24">
        <f t="shared" si="0"/>
        <v>3.3096599778118367E-3</v>
      </c>
    </row>
    <row r="9" spans="2:25" x14ac:dyDescent="0.25">
      <c r="B9" s="15" t="s">
        <v>33</v>
      </c>
      <c r="C9" s="16">
        <f>IFERROR(INDEX(Volcado_Dist!$A:$ZZ, MATCH($B9, Volcado_Dist!$A:$A, 0), MATCH(C$2, Volcado_Dist!$1:$1, 0)) / SUM(INDEX(Volcado_Dist!$A:$ZZ, 0, MATCH(C$2, Volcado_Dist!$1:$1, 0))), 0)</f>
        <v>0</v>
      </c>
      <c r="D9" s="16">
        <f>IFERROR(INDEX(Volcado_Dist!$A:$ZZ, MATCH($B9, Volcado_Dist!$A:$A, 0), MATCH(D$2, Volcado_Dist!$1:$1, 0)) / SUM(INDEX(Volcado_Dist!$A:$ZZ, 0, MATCH(D$2, Volcado_Dist!$1:$1, 0))), 0)</f>
        <v>0</v>
      </c>
      <c r="E9" s="16">
        <f>IFERROR(INDEX(Volcado_Dist!$A:$ZZ, MATCH($B9, Volcado_Dist!$A:$A, 0), MATCH(E$2, Volcado_Dist!$1:$1, 0)) / SUM(INDEX(Volcado_Dist!$A:$ZZ, 0, MATCH(E$2, Volcado_Dist!$1:$1, 0))), 0)</f>
        <v>2.2990195180832155E-3</v>
      </c>
      <c r="F9" s="16">
        <f>IFERROR(INDEX(Volcado_Dist!$A:$ZZ, MATCH($B9, Volcado_Dist!$A:$A, 0), MATCH(F$2, Volcado_Dist!$1:$1, 0)) / SUM(INDEX(Volcado_Dist!$A:$ZZ, 0, MATCH(F$2, Volcado_Dist!$1:$1, 0))), 0)</f>
        <v>0</v>
      </c>
      <c r="G9" s="16">
        <f>IFERROR(INDEX(Volcado_Dist!$A:$ZZ, MATCH($B9, Volcado_Dist!$A:$A, 0), MATCH(G$2, Volcado_Dist!$1:$1, 0)) / SUM(INDEX(Volcado_Dist!$A:$ZZ, 0, MATCH(G$2, Volcado_Dist!$1:$1, 0))), 0)</f>
        <v>0</v>
      </c>
      <c r="H9" s="16">
        <f>IFERROR(INDEX(Volcado_Dist!$A:$ZZ, MATCH($B9, Volcado_Dist!$A:$A, 0), MATCH(H$2, Volcado_Dist!$1:$1, 0)) / SUM(INDEX(Volcado_Dist!$A:$ZZ, 0, MATCH(H$2, Volcado_Dist!$1:$1, 0))), 0)</f>
        <v>0</v>
      </c>
      <c r="I9" s="16">
        <f>IFERROR(INDEX(Volcado_Dist!$A:$ZZ, MATCH($B9, Volcado_Dist!$A:$A, 0), MATCH(I$2, Volcado_Dist!$1:$1, 0)) / SUM(INDEX(Volcado_Dist!$A:$ZZ, 0, MATCH(I$2, Volcado_Dist!$1:$1, 0))), 0)</f>
        <v>0</v>
      </c>
      <c r="J9" s="16">
        <f>IFERROR(INDEX(Volcado_Dist!$A:$ZZ, MATCH($B9, Volcado_Dist!$A:$A, 0), MATCH(J$2, Volcado_Dist!$1:$1, 0)) / SUM(INDEX(Volcado_Dist!$A:$ZZ, 0, MATCH(J$2, Volcado_Dist!$1:$1, 0))), 0)</f>
        <v>0</v>
      </c>
      <c r="K9" s="16">
        <f>IFERROR(INDEX(Volcado_Dist!$A:$ZZ, MATCH($B9, Volcado_Dist!$A:$A, 0), MATCH(K$2, Volcado_Dist!$1:$1, 0)) / SUM(INDEX(Volcado_Dist!$A:$ZZ, 0, MATCH(K$2, Volcado_Dist!$1:$1, 0))), 0)</f>
        <v>0</v>
      </c>
      <c r="L9" s="16">
        <f>IFERROR(INDEX(Volcado_Dist!$A:$ZZ, MATCH($B9, Volcado_Dist!$A:$A, 0), MATCH(L$2, Volcado_Dist!$1:$1, 0)) / SUM(INDEX(Volcado_Dist!$A:$ZZ, 0, MATCH(L$2, Volcado_Dist!$1:$1, 0))), 0)</f>
        <v>0</v>
      </c>
      <c r="M9" s="16">
        <f>IFERROR(INDEX(Volcado_Dist!$A:$ZZ, MATCH($B9, Volcado_Dist!$A:$A, 0), MATCH(M$2, Volcado_Dist!$1:$1, 0)) / SUM(INDEX(Volcado_Dist!$A:$ZZ, 0, MATCH(M$2, Volcado_Dist!$1:$1, 0))), 0)</f>
        <v>0</v>
      </c>
      <c r="N9" s="16">
        <f>IFERROR(INDEX(Volcado_Dist!$A:$ZZ, MATCH($B9, Volcado_Dist!$A:$A, 0), MATCH(N$2, Volcado_Dist!$1:$1, 0)) / SUM(INDEX(Volcado_Dist!$A:$ZZ, 0, MATCH(N$2, Volcado_Dist!$1:$1, 0))), 0)</f>
        <v>0</v>
      </c>
      <c r="O9" s="16">
        <f>IFERROR(INDEX(Volcado_Dist!$A:$ZZ, MATCH($B9, Volcado_Dist!$A:$A, 0), MATCH(O$2, Volcado_Dist!$1:$1, 0)) / SUM(INDEX(Volcado_Dist!$A:$ZZ, 0, MATCH(O$2, Volcado_Dist!$1:$1, 0))), 0)</f>
        <v>0</v>
      </c>
      <c r="P9" s="16">
        <f>IFERROR(INDEX(Volcado_Dist!$A:$ZZ, MATCH($B9, Volcado_Dist!$A:$A, 0), MATCH(P$2, Volcado_Dist!$1:$1, 0)) / SUM(INDEX(Volcado_Dist!$A:$ZZ, 0, MATCH(P$2, Volcado_Dist!$1:$1, 0))), 0)</f>
        <v>5.4253133299885284E-4</v>
      </c>
      <c r="Q9" s="16">
        <f>IFERROR(INDEX(Volcado_Dist!$A:$ZZ, MATCH($B9, Volcado_Dist!$A:$A, 0), MATCH(Q$2, Volcado_Dist!$1:$1, 0)) / SUM(INDEX(Volcado_Dist!$A:$ZZ, 0, MATCH(Q$2, Volcado_Dist!$1:$1, 0))), 0)</f>
        <v>0</v>
      </c>
      <c r="R9" s="16">
        <f>IFERROR(INDEX(Volcado_Dist!$A:$ZZ, MATCH($B9, Volcado_Dist!$A:$A, 0), MATCH(R$2, Volcado_Dist!$1:$1, 0)) / SUM(INDEX(Volcado_Dist!$A:$ZZ, 0, MATCH(R$2, Volcado_Dist!$1:$1, 0))), 0)</f>
        <v>0</v>
      </c>
      <c r="S9" s="16">
        <f>IFERROR(INDEX(Volcado_Dist!$A:$ZZ, MATCH($B9, Volcado_Dist!$A:$A, 0), MATCH(S$2, Volcado_Dist!$1:$1, 0)) / SUM(INDEX(Volcado_Dist!$A:$ZZ, 0, MATCH(S$2, Volcado_Dist!$1:$1, 0))), 0)</f>
        <v>0</v>
      </c>
      <c r="T9" s="16">
        <f>IFERROR(INDEX(Volcado_Dist!$A:$ZZ, MATCH($B9, Volcado_Dist!$A:$A, 0), MATCH(T$2, Volcado_Dist!$1:$1, 0)) / SUM(INDEX(Volcado_Dist!$A:$ZZ, 0, MATCH(T$2, Volcado_Dist!$1:$1, 0))), 0)</f>
        <v>0</v>
      </c>
      <c r="U9" s="16">
        <f>IFERROR(INDEX(Volcado_Dist!$A:$ZZ, MATCH($B9, Volcado_Dist!$A:$A, 0), MATCH(U$2, Volcado_Dist!$1:$1, 0)) / SUM(INDEX(Volcado_Dist!$A:$ZZ, 0, MATCH(U$2, Volcado_Dist!$1:$1, 0))), 0)</f>
        <v>0</v>
      </c>
      <c r="V9" s="16">
        <f>IFERROR(INDEX(Volcado_Dist!$A:$ZZ, MATCH($B9, Volcado_Dist!$A:$A, 0), MATCH(V$2, Volcado_Dist!$1:$1, 0)) / SUM(INDEX(Volcado_Dist!$A:$ZZ, 0, MATCH(V$2, Volcado_Dist!$1:$1, 0))), 0)</f>
        <v>0</v>
      </c>
      <c r="W9" s="16">
        <f t="shared" si="1"/>
        <v>1.4207754255410343E-4</v>
      </c>
      <c r="X9" s="17">
        <f>IFERROR(SUM(_xlfn.XLOOKUP($B9, Volcado_Vend!$A:$A, Volcado_Vend!$C:$ZZ, 0)) / SUM(Volcado_Vend!$C:$ZZ), 0)</f>
        <v>3.8929846104892793E-2</v>
      </c>
      <c r="Y9" s="24">
        <f t="shared" si="0"/>
        <v>1.9535961823723448E-2</v>
      </c>
    </row>
    <row r="10" spans="2:25" x14ac:dyDescent="0.25">
      <c r="B10" s="15" t="s">
        <v>34</v>
      </c>
      <c r="C10" s="16">
        <f>IFERROR(INDEX(Volcado_Dist!$A:$ZZ, MATCH($B10, Volcado_Dist!$A:$A, 0), MATCH(C$2, Volcado_Dist!$1:$1, 0)) / SUM(INDEX(Volcado_Dist!$A:$ZZ, 0, MATCH(C$2, Volcado_Dist!$1:$1, 0))), 0)</f>
        <v>2.4430998846301556E-2</v>
      </c>
      <c r="D10" s="16">
        <f>IFERROR(INDEX(Volcado_Dist!$A:$ZZ, MATCH($B10, Volcado_Dist!$A:$A, 0), MATCH(D$2, Volcado_Dist!$1:$1, 0)) / SUM(INDEX(Volcado_Dist!$A:$ZZ, 0, MATCH(D$2, Volcado_Dist!$1:$1, 0))), 0)</f>
        <v>7.6017928237323881E-2</v>
      </c>
      <c r="E10" s="16">
        <f>IFERROR(INDEX(Volcado_Dist!$A:$ZZ, MATCH($B10, Volcado_Dist!$A:$A, 0), MATCH(E$2, Volcado_Dist!$1:$1, 0)) / SUM(INDEX(Volcado_Dist!$A:$ZZ, 0, MATCH(E$2, Volcado_Dist!$1:$1, 0))), 0)</f>
        <v>1.000851241342905E-2</v>
      </c>
      <c r="F10" s="16">
        <f>IFERROR(INDEX(Volcado_Dist!$A:$ZZ, MATCH($B10, Volcado_Dist!$A:$A, 0), MATCH(F$2, Volcado_Dist!$1:$1, 0)) / SUM(INDEX(Volcado_Dist!$A:$ZZ, 0, MATCH(F$2, Volcado_Dist!$1:$1, 0))), 0)</f>
        <v>1.5401676163158608E-2</v>
      </c>
      <c r="G10" s="16">
        <f>IFERROR(INDEX(Volcado_Dist!$A:$ZZ, MATCH($B10, Volcado_Dist!$A:$A, 0), MATCH(G$2, Volcado_Dist!$1:$1, 0)) / SUM(INDEX(Volcado_Dist!$A:$ZZ, 0, MATCH(G$2, Volcado_Dist!$1:$1, 0))), 0)</f>
        <v>2.1054052775176094E-2</v>
      </c>
      <c r="H10" s="16">
        <f>IFERROR(INDEX(Volcado_Dist!$A:$ZZ, MATCH($B10, Volcado_Dist!$A:$A, 0), MATCH(H$2, Volcado_Dist!$1:$1, 0)) / SUM(INDEX(Volcado_Dist!$A:$ZZ, 0, MATCH(H$2, Volcado_Dist!$1:$1, 0))), 0)</f>
        <v>0</v>
      </c>
      <c r="I10" s="16">
        <f>IFERROR(INDEX(Volcado_Dist!$A:$ZZ, MATCH($B10, Volcado_Dist!$A:$A, 0), MATCH(I$2, Volcado_Dist!$1:$1, 0)) / SUM(INDEX(Volcado_Dist!$A:$ZZ, 0, MATCH(I$2, Volcado_Dist!$1:$1, 0))), 0)</f>
        <v>8.0454774648109247E-3</v>
      </c>
      <c r="J10" s="16">
        <f>IFERROR(INDEX(Volcado_Dist!$A:$ZZ, MATCH($B10, Volcado_Dist!$A:$A, 0), MATCH(J$2, Volcado_Dist!$1:$1, 0)) / SUM(INDEX(Volcado_Dist!$A:$ZZ, 0, MATCH(J$2, Volcado_Dist!$1:$1, 0))), 0)</f>
        <v>0</v>
      </c>
      <c r="K10" s="16">
        <f>IFERROR(INDEX(Volcado_Dist!$A:$ZZ, MATCH($B10, Volcado_Dist!$A:$A, 0), MATCH(K$2, Volcado_Dist!$1:$1, 0)) / SUM(INDEX(Volcado_Dist!$A:$ZZ, 0, MATCH(K$2, Volcado_Dist!$1:$1, 0))), 0)</f>
        <v>1.7744844168992163E-2</v>
      </c>
      <c r="L10" s="16">
        <f>IFERROR(INDEX(Volcado_Dist!$A:$ZZ, MATCH($B10, Volcado_Dist!$A:$A, 0), MATCH(L$2, Volcado_Dist!$1:$1, 0)) / SUM(INDEX(Volcado_Dist!$A:$ZZ, 0, MATCH(L$2, Volcado_Dist!$1:$1, 0))), 0)</f>
        <v>1.7613780807705336E-2</v>
      </c>
      <c r="M10" s="16">
        <f>IFERROR(INDEX(Volcado_Dist!$A:$ZZ, MATCH($B10, Volcado_Dist!$A:$A, 0), MATCH(M$2, Volcado_Dist!$1:$1, 0)) / SUM(INDEX(Volcado_Dist!$A:$ZZ, 0, MATCH(M$2, Volcado_Dist!$1:$1, 0))), 0)</f>
        <v>-4.7335776424232657E-3</v>
      </c>
      <c r="N10" s="16">
        <f>IFERROR(INDEX(Volcado_Dist!$A:$ZZ, MATCH($B10, Volcado_Dist!$A:$A, 0), MATCH(N$2, Volcado_Dist!$1:$1, 0)) / SUM(INDEX(Volcado_Dist!$A:$ZZ, 0, MATCH(N$2, Volcado_Dist!$1:$1, 0))), 0)</f>
        <v>0</v>
      </c>
      <c r="O10" s="16">
        <f>IFERROR(INDEX(Volcado_Dist!$A:$ZZ, MATCH($B10, Volcado_Dist!$A:$A, 0), MATCH(O$2, Volcado_Dist!$1:$1, 0)) / SUM(INDEX(Volcado_Dist!$A:$ZZ, 0, MATCH(O$2, Volcado_Dist!$1:$1, 0))), 0)</f>
        <v>8.3409411406595215E-3</v>
      </c>
      <c r="P10" s="16">
        <f>IFERROR(INDEX(Volcado_Dist!$A:$ZZ, MATCH($B10, Volcado_Dist!$A:$A, 0), MATCH(P$2, Volcado_Dist!$1:$1, 0)) / SUM(INDEX(Volcado_Dist!$A:$ZZ, 0, MATCH(P$2, Volcado_Dist!$1:$1, 0))), 0)</f>
        <v>8.2750994383841685E-3</v>
      </c>
      <c r="Q10" s="16">
        <f>IFERROR(INDEX(Volcado_Dist!$A:$ZZ, MATCH($B10, Volcado_Dist!$A:$A, 0), MATCH(Q$2, Volcado_Dist!$1:$1, 0)) / SUM(INDEX(Volcado_Dist!$A:$ZZ, 0, MATCH(Q$2, Volcado_Dist!$1:$1, 0))), 0)</f>
        <v>3.5434870583373851E-5</v>
      </c>
      <c r="R10" s="16">
        <f>IFERROR(INDEX(Volcado_Dist!$A:$ZZ, MATCH($B10, Volcado_Dist!$A:$A, 0), MATCH(R$2, Volcado_Dist!$1:$1, 0)) / SUM(INDEX(Volcado_Dist!$A:$ZZ, 0, MATCH(R$2, Volcado_Dist!$1:$1, 0))), 0)</f>
        <v>3.744228716764187E-2</v>
      </c>
      <c r="S10" s="16">
        <f>IFERROR(INDEX(Volcado_Dist!$A:$ZZ, MATCH($B10, Volcado_Dist!$A:$A, 0), MATCH(S$2, Volcado_Dist!$1:$1, 0)) / SUM(INDEX(Volcado_Dist!$A:$ZZ, 0, MATCH(S$2, Volcado_Dist!$1:$1, 0))), 0)</f>
        <v>1.3572162329173373E-2</v>
      </c>
      <c r="T10" s="16">
        <f>IFERROR(INDEX(Volcado_Dist!$A:$ZZ, MATCH($B10, Volcado_Dist!$A:$A, 0), MATCH(T$2, Volcado_Dist!$1:$1, 0)) / SUM(INDEX(Volcado_Dist!$A:$ZZ, 0, MATCH(T$2, Volcado_Dist!$1:$1, 0))), 0)</f>
        <v>1.1410607280154262E-2</v>
      </c>
      <c r="U10" s="16">
        <f>IFERROR(INDEX(Volcado_Dist!$A:$ZZ, MATCH($B10, Volcado_Dist!$A:$A, 0), MATCH(U$2, Volcado_Dist!$1:$1, 0)) / SUM(INDEX(Volcado_Dist!$A:$ZZ, 0, MATCH(U$2, Volcado_Dist!$1:$1, 0))), 0)</f>
        <v>2.5914124090414055E-2</v>
      </c>
      <c r="V10" s="16">
        <f>IFERROR(INDEX(Volcado_Dist!$A:$ZZ, MATCH($B10, Volcado_Dist!$A:$A, 0), MATCH(V$2, Volcado_Dist!$1:$1, 0)) / SUM(INDEX(Volcado_Dist!$A:$ZZ, 0, MATCH(V$2, Volcado_Dist!$1:$1, 0))), 0)</f>
        <v>6.1460439173625352E-3</v>
      </c>
      <c r="W10" s="16">
        <f t="shared" si="1"/>
        <v>1.4836019673442374E-2</v>
      </c>
      <c r="X10" s="17">
        <f>IFERROR(SUM(_xlfn.XLOOKUP($B10, Volcado_Vend!$A:$A, Volcado_Vend!$C:$ZZ, 0)) / SUM(Volcado_Vend!$C:$ZZ), 0)</f>
        <v>8.9268832006093109E-4</v>
      </c>
      <c r="Y10" s="24">
        <f t="shared" si="0"/>
        <v>7.8643539967516527E-3</v>
      </c>
    </row>
    <row r="11" spans="2:25" x14ac:dyDescent="0.25">
      <c r="B11" s="15" t="s">
        <v>35</v>
      </c>
      <c r="C11" s="16">
        <f>IFERROR(INDEX(Volcado_Dist!$A:$ZZ, MATCH($B11, Volcado_Dist!$A:$A, 0), MATCH(C$2, Volcado_Dist!$1:$1, 0)) / SUM(INDEX(Volcado_Dist!$A:$ZZ, 0, MATCH(C$2, Volcado_Dist!$1:$1, 0))), 0)</f>
        <v>0</v>
      </c>
      <c r="D11" s="16">
        <f>IFERROR(INDEX(Volcado_Dist!$A:$ZZ, MATCH($B11, Volcado_Dist!$A:$A, 0), MATCH(D$2, Volcado_Dist!$1:$1, 0)) / SUM(INDEX(Volcado_Dist!$A:$ZZ, 0, MATCH(D$2, Volcado_Dist!$1:$1, 0))), 0)</f>
        <v>0</v>
      </c>
      <c r="E11" s="16">
        <f>IFERROR(INDEX(Volcado_Dist!$A:$ZZ, MATCH($B11, Volcado_Dist!$A:$A, 0), MATCH(E$2, Volcado_Dist!$1:$1, 0)) / SUM(INDEX(Volcado_Dist!$A:$ZZ, 0, MATCH(E$2, Volcado_Dist!$1:$1, 0))), 0)</f>
        <v>-1.5769070942137884E-4</v>
      </c>
      <c r="F11" s="16">
        <f>IFERROR(INDEX(Volcado_Dist!$A:$ZZ, MATCH($B11, Volcado_Dist!$A:$A, 0), MATCH(F$2, Volcado_Dist!$1:$1, 0)) / SUM(INDEX(Volcado_Dist!$A:$ZZ, 0, MATCH(F$2, Volcado_Dist!$1:$1, 0))), 0)</f>
        <v>0</v>
      </c>
      <c r="G11" s="16">
        <f>IFERROR(INDEX(Volcado_Dist!$A:$ZZ, MATCH($B11, Volcado_Dist!$A:$A, 0), MATCH(G$2, Volcado_Dist!$1:$1, 0)) / SUM(INDEX(Volcado_Dist!$A:$ZZ, 0, MATCH(G$2, Volcado_Dist!$1:$1, 0))), 0)</f>
        <v>0</v>
      </c>
      <c r="H11" s="16">
        <f>IFERROR(INDEX(Volcado_Dist!$A:$ZZ, MATCH($B11, Volcado_Dist!$A:$A, 0), MATCH(H$2, Volcado_Dist!$1:$1, 0)) / SUM(INDEX(Volcado_Dist!$A:$ZZ, 0, MATCH(H$2, Volcado_Dist!$1:$1, 0))), 0)</f>
        <v>0</v>
      </c>
      <c r="I11" s="16">
        <f>IFERROR(INDEX(Volcado_Dist!$A:$ZZ, MATCH($B11, Volcado_Dist!$A:$A, 0), MATCH(I$2, Volcado_Dist!$1:$1, 0)) / SUM(INDEX(Volcado_Dist!$A:$ZZ, 0, MATCH(I$2, Volcado_Dist!$1:$1, 0))), 0)</f>
        <v>0</v>
      </c>
      <c r="J11" s="16">
        <f>IFERROR(INDEX(Volcado_Dist!$A:$ZZ, MATCH($B11, Volcado_Dist!$A:$A, 0), MATCH(J$2, Volcado_Dist!$1:$1, 0)) / SUM(INDEX(Volcado_Dist!$A:$ZZ, 0, MATCH(J$2, Volcado_Dist!$1:$1, 0))), 0)</f>
        <v>0</v>
      </c>
      <c r="K11" s="16">
        <f>IFERROR(INDEX(Volcado_Dist!$A:$ZZ, MATCH($B11, Volcado_Dist!$A:$A, 0), MATCH(K$2, Volcado_Dist!$1:$1, 0)) / SUM(INDEX(Volcado_Dist!$A:$ZZ, 0, MATCH(K$2, Volcado_Dist!$1:$1, 0))), 0)</f>
        <v>-6.3559947370162373E-5</v>
      </c>
      <c r="L11" s="16">
        <f>IFERROR(INDEX(Volcado_Dist!$A:$ZZ, MATCH($B11, Volcado_Dist!$A:$A, 0), MATCH(L$2, Volcado_Dist!$1:$1, 0)) / SUM(INDEX(Volcado_Dist!$A:$ZZ, 0, MATCH(L$2, Volcado_Dist!$1:$1, 0))), 0)</f>
        <v>0</v>
      </c>
      <c r="M11" s="16">
        <f>IFERROR(INDEX(Volcado_Dist!$A:$ZZ, MATCH($B11, Volcado_Dist!$A:$A, 0), MATCH(M$2, Volcado_Dist!$1:$1, 0)) / SUM(INDEX(Volcado_Dist!$A:$ZZ, 0, MATCH(M$2, Volcado_Dist!$1:$1, 0))), 0)</f>
        <v>0</v>
      </c>
      <c r="N11" s="16">
        <f>IFERROR(INDEX(Volcado_Dist!$A:$ZZ, MATCH($B11, Volcado_Dist!$A:$A, 0), MATCH(N$2, Volcado_Dist!$1:$1, 0)) / SUM(INDEX(Volcado_Dist!$A:$ZZ, 0, MATCH(N$2, Volcado_Dist!$1:$1, 0))), 0)</f>
        <v>0</v>
      </c>
      <c r="O11" s="16">
        <f>IFERROR(INDEX(Volcado_Dist!$A:$ZZ, MATCH($B11, Volcado_Dist!$A:$A, 0), MATCH(O$2, Volcado_Dist!$1:$1, 0)) / SUM(INDEX(Volcado_Dist!$A:$ZZ, 0, MATCH(O$2, Volcado_Dist!$1:$1, 0))), 0)</f>
        <v>0</v>
      </c>
      <c r="P11" s="16">
        <f>IFERROR(INDEX(Volcado_Dist!$A:$ZZ, MATCH($B11, Volcado_Dist!$A:$A, 0), MATCH(P$2, Volcado_Dist!$1:$1, 0)) / SUM(INDEX(Volcado_Dist!$A:$ZZ, 0, MATCH(P$2, Volcado_Dist!$1:$1, 0))), 0)</f>
        <v>0</v>
      </c>
      <c r="Q11" s="16">
        <f>IFERROR(INDEX(Volcado_Dist!$A:$ZZ, MATCH($B11, Volcado_Dist!$A:$A, 0), MATCH(Q$2, Volcado_Dist!$1:$1, 0)) / SUM(INDEX(Volcado_Dist!$A:$ZZ, 0, MATCH(Q$2, Volcado_Dist!$1:$1, 0))), 0)</f>
        <v>0</v>
      </c>
      <c r="R11" s="16">
        <f>IFERROR(INDEX(Volcado_Dist!$A:$ZZ, MATCH($B11, Volcado_Dist!$A:$A, 0), MATCH(R$2, Volcado_Dist!$1:$1, 0)) / SUM(INDEX(Volcado_Dist!$A:$ZZ, 0, MATCH(R$2, Volcado_Dist!$1:$1, 0))), 0)</f>
        <v>0</v>
      </c>
      <c r="S11" s="16">
        <f>IFERROR(INDEX(Volcado_Dist!$A:$ZZ, MATCH($B11, Volcado_Dist!$A:$A, 0), MATCH(S$2, Volcado_Dist!$1:$1, 0)) / SUM(INDEX(Volcado_Dist!$A:$ZZ, 0, MATCH(S$2, Volcado_Dist!$1:$1, 0))), 0)</f>
        <v>0</v>
      </c>
      <c r="T11" s="16">
        <f>IFERROR(INDEX(Volcado_Dist!$A:$ZZ, MATCH($B11, Volcado_Dist!$A:$A, 0), MATCH(T$2, Volcado_Dist!$1:$1, 0)) / SUM(INDEX(Volcado_Dist!$A:$ZZ, 0, MATCH(T$2, Volcado_Dist!$1:$1, 0))), 0)</f>
        <v>0</v>
      </c>
      <c r="U11" s="16">
        <f>IFERROR(INDEX(Volcado_Dist!$A:$ZZ, MATCH($B11, Volcado_Dist!$A:$A, 0), MATCH(U$2, Volcado_Dist!$1:$1, 0)) / SUM(INDEX(Volcado_Dist!$A:$ZZ, 0, MATCH(U$2, Volcado_Dist!$1:$1, 0))), 0)</f>
        <v>0</v>
      </c>
      <c r="V11" s="16">
        <f>IFERROR(INDEX(Volcado_Dist!$A:$ZZ, MATCH($B11, Volcado_Dist!$A:$A, 0), MATCH(V$2, Volcado_Dist!$1:$1, 0)) / SUM(INDEX(Volcado_Dist!$A:$ZZ, 0, MATCH(V$2, Volcado_Dist!$1:$1, 0))), 0)</f>
        <v>0</v>
      </c>
      <c r="W11" s="16">
        <f t="shared" si="1"/>
        <v>-1.106253283957706E-5</v>
      </c>
      <c r="X11" s="17">
        <f>IFERROR(SUM(_xlfn.XLOOKUP($B11, Volcado_Vend!$A:$A, Volcado_Vend!$C:$ZZ, 0)) / SUM(Volcado_Vend!$C:$ZZ), 0)</f>
        <v>5.8998084733530591E-4</v>
      </c>
      <c r="Y11" s="24">
        <f t="shared" si="0"/>
        <v>2.8945915724786441E-4</v>
      </c>
    </row>
    <row r="12" spans="2:25" x14ac:dyDescent="0.25">
      <c r="B12" s="15" t="s">
        <v>36</v>
      </c>
      <c r="C12" s="16">
        <f>IFERROR(INDEX(Volcado_Dist!$A:$ZZ, MATCH($B12, Volcado_Dist!$A:$A, 0), MATCH(C$2, Volcado_Dist!$1:$1, 0)) / SUM(INDEX(Volcado_Dist!$A:$ZZ, 0, MATCH(C$2, Volcado_Dist!$1:$1, 0))), 0)</f>
        <v>8.9112178625378145E-3</v>
      </c>
      <c r="D12" s="16">
        <f>IFERROR(INDEX(Volcado_Dist!$A:$ZZ, MATCH($B12, Volcado_Dist!$A:$A, 0), MATCH(D$2, Volcado_Dist!$1:$1, 0)) / SUM(INDEX(Volcado_Dist!$A:$ZZ, 0, MATCH(D$2, Volcado_Dist!$1:$1, 0))), 0)</f>
        <v>0</v>
      </c>
      <c r="E12" s="16">
        <f>IFERROR(INDEX(Volcado_Dist!$A:$ZZ, MATCH($B12, Volcado_Dist!$A:$A, 0), MATCH(E$2, Volcado_Dist!$1:$1, 0)) / SUM(INDEX(Volcado_Dist!$A:$ZZ, 0, MATCH(E$2, Volcado_Dist!$1:$1, 0))), 0)</f>
        <v>6.3817686742322945E-4</v>
      </c>
      <c r="F12" s="16">
        <f>IFERROR(INDEX(Volcado_Dist!$A:$ZZ, MATCH($B12, Volcado_Dist!$A:$A, 0), MATCH(F$2, Volcado_Dist!$1:$1, 0)) / SUM(INDEX(Volcado_Dist!$A:$ZZ, 0, MATCH(F$2, Volcado_Dist!$1:$1, 0))), 0)</f>
        <v>1.6253588821421102E-3</v>
      </c>
      <c r="G12" s="16">
        <f>IFERROR(INDEX(Volcado_Dist!$A:$ZZ, MATCH($B12, Volcado_Dist!$A:$A, 0), MATCH(G$2, Volcado_Dist!$1:$1, 0)) / SUM(INDEX(Volcado_Dist!$A:$ZZ, 0, MATCH(G$2, Volcado_Dist!$1:$1, 0))), 0)</f>
        <v>0</v>
      </c>
      <c r="H12" s="16">
        <f>IFERROR(INDEX(Volcado_Dist!$A:$ZZ, MATCH($B12, Volcado_Dist!$A:$A, 0), MATCH(H$2, Volcado_Dist!$1:$1, 0)) / SUM(INDEX(Volcado_Dist!$A:$ZZ, 0, MATCH(H$2, Volcado_Dist!$1:$1, 0))), 0)</f>
        <v>0</v>
      </c>
      <c r="I12" s="16">
        <f>IFERROR(INDEX(Volcado_Dist!$A:$ZZ, MATCH($B12, Volcado_Dist!$A:$A, 0), MATCH(I$2, Volcado_Dist!$1:$1, 0)) / SUM(INDEX(Volcado_Dist!$A:$ZZ, 0, MATCH(I$2, Volcado_Dist!$1:$1, 0))), 0)</f>
        <v>1.4996023169302863E-3</v>
      </c>
      <c r="J12" s="16">
        <f>IFERROR(INDEX(Volcado_Dist!$A:$ZZ, MATCH($B12, Volcado_Dist!$A:$A, 0), MATCH(J$2, Volcado_Dist!$1:$1, 0)) / SUM(INDEX(Volcado_Dist!$A:$ZZ, 0, MATCH(J$2, Volcado_Dist!$1:$1, 0))), 0)</f>
        <v>0</v>
      </c>
      <c r="K12" s="16">
        <f>IFERROR(INDEX(Volcado_Dist!$A:$ZZ, MATCH($B12, Volcado_Dist!$A:$A, 0), MATCH(K$2, Volcado_Dist!$1:$1, 0)) / SUM(INDEX(Volcado_Dist!$A:$ZZ, 0, MATCH(K$2, Volcado_Dist!$1:$1, 0))), 0)</f>
        <v>9.4371388523888707E-4</v>
      </c>
      <c r="L12" s="16">
        <f>IFERROR(INDEX(Volcado_Dist!$A:$ZZ, MATCH($B12, Volcado_Dist!$A:$A, 0), MATCH(L$2, Volcado_Dist!$1:$1, 0)) / SUM(INDEX(Volcado_Dist!$A:$ZZ, 0, MATCH(L$2, Volcado_Dist!$1:$1, 0))), 0)</f>
        <v>1.7008217503513259E-3</v>
      </c>
      <c r="M12" s="16">
        <f>IFERROR(INDEX(Volcado_Dist!$A:$ZZ, MATCH($B12, Volcado_Dist!$A:$A, 0), MATCH(M$2, Volcado_Dist!$1:$1, 0)) / SUM(INDEX(Volcado_Dist!$A:$ZZ, 0, MATCH(M$2, Volcado_Dist!$1:$1, 0))), 0)</f>
        <v>1.8743504746776085E-3</v>
      </c>
      <c r="N12" s="16">
        <f>IFERROR(INDEX(Volcado_Dist!$A:$ZZ, MATCH($B12, Volcado_Dist!$A:$A, 0), MATCH(N$2, Volcado_Dist!$1:$1, 0)) / SUM(INDEX(Volcado_Dist!$A:$ZZ, 0, MATCH(N$2, Volcado_Dist!$1:$1, 0))), 0)</f>
        <v>0</v>
      </c>
      <c r="O12" s="16">
        <f>IFERROR(INDEX(Volcado_Dist!$A:$ZZ, MATCH($B12, Volcado_Dist!$A:$A, 0), MATCH(O$2, Volcado_Dist!$1:$1, 0)) / SUM(INDEX(Volcado_Dist!$A:$ZZ, 0, MATCH(O$2, Volcado_Dist!$1:$1, 0))), 0)</f>
        <v>0</v>
      </c>
      <c r="P12" s="16">
        <f>IFERROR(INDEX(Volcado_Dist!$A:$ZZ, MATCH($B12, Volcado_Dist!$A:$A, 0), MATCH(P$2, Volcado_Dist!$1:$1, 0)) / SUM(INDEX(Volcado_Dist!$A:$ZZ, 0, MATCH(P$2, Volcado_Dist!$1:$1, 0))), 0)</f>
        <v>3.4482951613245912E-5</v>
      </c>
      <c r="Q12" s="16">
        <f>IFERROR(INDEX(Volcado_Dist!$A:$ZZ, MATCH($B12, Volcado_Dist!$A:$A, 0), MATCH(Q$2, Volcado_Dist!$1:$1, 0)) / SUM(INDEX(Volcado_Dist!$A:$ZZ, 0, MATCH(Q$2, Volcado_Dist!$1:$1, 0))), 0)</f>
        <v>0</v>
      </c>
      <c r="R12" s="16">
        <f>IFERROR(INDEX(Volcado_Dist!$A:$ZZ, MATCH($B12, Volcado_Dist!$A:$A, 0), MATCH(R$2, Volcado_Dist!$1:$1, 0)) / SUM(INDEX(Volcado_Dist!$A:$ZZ, 0, MATCH(R$2, Volcado_Dist!$1:$1, 0))), 0)</f>
        <v>0</v>
      </c>
      <c r="S12" s="16">
        <f>IFERROR(INDEX(Volcado_Dist!$A:$ZZ, MATCH($B12, Volcado_Dist!$A:$A, 0), MATCH(S$2, Volcado_Dist!$1:$1, 0)) / SUM(INDEX(Volcado_Dist!$A:$ZZ, 0, MATCH(S$2, Volcado_Dist!$1:$1, 0))), 0)</f>
        <v>0</v>
      </c>
      <c r="T12" s="16">
        <f>IFERROR(INDEX(Volcado_Dist!$A:$ZZ, MATCH($B12, Volcado_Dist!$A:$A, 0), MATCH(T$2, Volcado_Dist!$1:$1, 0)) / SUM(INDEX(Volcado_Dist!$A:$ZZ, 0, MATCH(T$2, Volcado_Dist!$1:$1, 0))), 0)</f>
        <v>-6.8322335614374295E-6</v>
      </c>
      <c r="U12" s="16">
        <f>IFERROR(INDEX(Volcado_Dist!$A:$ZZ, MATCH($B12, Volcado_Dist!$A:$A, 0), MATCH(U$2, Volcado_Dist!$1:$1, 0)) / SUM(INDEX(Volcado_Dist!$A:$ZZ, 0, MATCH(U$2, Volcado_Dist!$1:$1, 0))), 0)</f>
        <v>0</v>
      </c>
      <c r="V12" s="16">
        <f>IFERROR(INDEX(Volcado_Dist!$A:$ZZ, MATCH($B12, Volcado_Dist!$A:$A, 0), MATCH(V$2, Volcado_Dist!$1:$1, 0)) / SUM(INDEX(Volcado_Dist!$A:$ZZ, 0, MATCH(V$2, Volcado_Dist!$1:$1, 0))), 0)</f>
        <v>3.0225311635014942E-3</v>
      </c>
      <c r="W12" s="16">
        <f t="shared" si="1"/>
        <v>1.0121711960427284E-3</v>
      </c>
      <c r="X12" s="17">
        <f>IFERROR(SUM(_xlfn.XLOOKUP($B12, Volcado_Vend!$A:$A, Volcado_Vend!$C:$ZZ, 0)) / SUM(Volcado_Vend!$C:$ZZ), 0)</f>
        <v>1.2670896679057835E-3</v>
      </c>
      <c r="Y12" s="24">
        <f t="shared" si="0"/>
        <v>1.1396304319742558E-3</v>
      </c>
    </row>
    <row r="13" spans="2:25" x14ac:dyDescent="0.25">
      <c r="B13" s="15" t="s">
        <v>37</v>
      </c>
      <c r="C13" s="16">
        <f>IFERROR(INDEX(Volcado_Dist!$A:$ZZ, MATCH($B13, Volcado_Dist!$A:$A, 0), MATCH(C$2, Volcado_Dist!$1:$1, 0)) / SUM(INDEX(Volcado_Dist!$A:$ZZ, 0, MATCH(C$2, Volcado_Dist!$1:$1, 0))), 0)</f>
        <v>1.2394683532390852E-3</v>
      </c>
      <c r="D13" s="16">
        <f>IFERROR(INDEX(Volcado_Dist!$A:$ZZ, MATCH($B13, Volcado_Dist!$A:$A, 0), MATCH(D$2, Volcado_Dist!$1:$1, 0)) / SUM(INDEX(Volcado_Dist!$A:$ZZ, 0, MATCH(D$2, Volcado_Dist!$1:$1, 0))), 0)</f>
        <v>0</v>
      </c>
      <c r="E13" s="16">
        <f>IFERROR(INDEX(Volcado_Dist!$A:$ZZ, MATCH($B13, Volcado_Dist!$A:$A, 0), MATCH(E$2, Volcado_Dist!$1:$1, 0)) / SUM(INDEX(Volcado_Dist!$A:$ZZ, 0, MATCH(E$2, Volcado_Dist!$1:$1, 0))), 0)</f>
        <v>4.8989627266894905E-3</v>
      </c>
      <c r="F13" s="16">
        <f>IFERROR(INDEX(Volcado_Dist!$A:$ZZ, MATCH($B13, Volcado_Dist!$A:$A, 0), MATCH(F$2, Volcado_Dist!$1:$1, 0)) / SUM(INDEX(Volcado_Dist!$A:$ZZ, 0, MATCH(F$2, Volcado_Dist!$1:$1, 0))), 0)</f>
        <v>9.0934782981364533E-3</v>
      </c>
      <c r="G13" s="16">
        <f>IFERROR(INDEX(Volcado_Dist!$A:$ZZ, MATCH($B13, Volcado_Dist!$A:$A, 0), MATCH(G$2, Volcado_Dist!$1:$1, 0)) / SUM(INDEX(Volcado_Dist!$A:$ZZ, 0, MATCH(G$2, Volcado_Dist!$1:$1, 0))), 0)</f>
        <v>0</v>
      </c>
      <c r="H13" s="16">
        <f>IFERROR(INDEX(Volcado_Dist!$A:$ZZ, MATCH($B13, Volcado_Dist!$A:$A, 0), MATCH(H$2, Volcado_Dist!$1:$1, 0)) / SUM(INDEX(Volcado_Dist!$A:$ZZ, 0, MATCH(H$2, Volcado_Dist!$1:$1, 0))), 0)</f>
        <v>0</v>
      </c>
      <c r="I13" s="16">
        <f>IFERROR(INDEX(Volcado_Dist!$A:$ZZ, MATCH($B13, Volcado_Dist!$A:$A, 0), MATCH(I$2, Volcado_Dist!$1:$1, 0)) / SUM(INDEX(Volcado_Dist!$A:$ZZ, 0, MATCH(I$2, Volcado_Dist!$1:$1, 0))), 0)</f>
        <v>2.2871201103346283E-3</v>
      </c>
      <c r="J13" s="16">
        <f>IFERROR(INDEX(Volcado_Dist!$A:$ZZ, MATCH($B13, Volcado_Dist!$A:$A, 0), MATCH(J$2, Volcado_Dist!$1:$1, 0)) / SUM(INDEX(Volcado_Dist!$A:$ZZ, 0, MATCH(J$2, Volcado_Dist!$1:$1, 0))), 0)</f>
        <v>0</v>
      </c>
      <c r="K13" s="16">
        <f>IFERROR(INDEX(Volcado_Dist!$A:$ZZ, MATCH($B13, Volcado_Dist!$A:$A, 0), MATCH(K$2, Volcado_Dist!$1:$1, 0)) / SUM(INDEX(Volcado_Dist!$A:$ZZ, 0, MATCH(K$2, Volcado_Dist!$1:$1, 0))), 0)</f>
        <v>7.5031393680931374E-3</v>
      </c>
      <c r="L13" s="16">
        <f>IFERROR(INDEX(Volcado_Dist!$A:$ZZ, MATCH($B13, Volcado_Dist!$A:$A, 0), MATCH(L$2, Volcado_Dist!$1:$1, 0)) / SUM(INDEX(Volcado_Dist!$A:$ZZ, 0, MATCH(L$2, Volcado_Dist!$1:$1, 0))), 0)</f>
        <v>1.3568458837887168E-2</v>
      </c>
      <c r="M13" s="16">
        <f>IFERROR(INDEX(Volcado_Dist!$A:$ZZ, MATCH($B13, Volcado_Dist!$A:$A, 0), MATCH(M$2, Volcado_Dist!$1:$1, 0)) / SUM(INDEX(Volcado_Dist!$A:$ZZ, 0, MATCH(M$2, Volcado_Dist!$1:$1, 0))), 0)</f>
        <v>-2.699214313746057E-3</v>
      </c>
      <c r="N13" s="16">
        <f>IFERROR(INDEX(Volcado_Dist!$A:$ZZ, MATCH($B13, Volcado_Dist!$A:$A, 0), MATCH(N$2, Volcado_Dist!$1:$1, 0)) / SUM(INDEX(Volcado_Dist!$A:$ZZ, 0, MATCH(N$2, Volcado_Dist!$1:$1, 0))), 0)</f>
        <v>0</v>
      </c>
      <c r="O13" s="16">
        <f>IFERROR(INDEX(Volcado_Dist!$A:$ZZ, MATCH($B13, Volcado_Dist!$A:$A, 0), MATCH(O$2, Volcado_Dist!$1:$1, 0)) / SUM(INDEX(Volcado_Dist!$A:$ZZ, 0, MATCH(O$2, Volcado_Dist!$1:$1, 0))), 0)</f>
        <v>1.3142430954764816E-2</v>
      </c>
      <c r="P13" s="16">
        <f>IFERROR(INDEX(Volcado_Dist!$A:$ZZ, MATCH($B13, Volcado_Dist!$A:$A, 0), MATCH(P$2, Volcado_Dist!$1:$1, 0)) / SUM(INDEX(Volcado_Dist!$A:$ZZ, 0, MATCH(P$2, Volcado_Dist!$1:$1, 0))), 0)</f>
        <v>1.584384937588135E-3</v>
      </c>
      <c r="Q13" s="16">
        <f>IFERROR(INDEX(Volcado_Dist!$A:$ZZ, MATCH($B13, Volcado_Dist!$A:$A, 0), MATCH(Q$2, Volcado_Dist!$1:$1, 0)) / SUM(INDEX(Volcado_Dist!$A:$ZZ, 0, MATCH(Q$2, Volcado_Dist!$1:$1, 0))), 0)</f>
        <v>1.0412747705176056E-2</v>
      </c>
      <c r="R13" s="16">
        <f>IFERROR(INDEX(Volcado_Dist!$A:$ZZ, MATCH($B13, Volcado_Dist!$A:$A, 0), MATCH(R$2, Volcado_Dist!$1:$1, 0)) / SUM(INDEX(Volcado_Dist!$A:$ZZ, 0, MATCH(R$2, Volcado_Dist!$1:$1, 0))), 0)</f>
        <v>3.7712418253446041E-3</v>
      </c>
      <c r="S13" s="16">
        <f>IFERROR(INDEX(Volcado_Dist!$A:$ZZ, MATCH($B13, Volcado_Dist!$A:$A, 0), MATCH(S$2, Volcado_Dist!$1:$1, 0)) / SUM(INDEX(Volcado_Dist!$A:$ZZ, 0, MATCH(S$2, Volcado_Dist!$1:$1, 0))), 0)</f>
        <v>1.1869559467900572E-2</v>
      </c>
      <c r="T13" s="16">
        <f>IFERROR(INDEX(Volcado_Dist!$A:$ZZ, MATCH($B13, Volcado_Dist!$A:$A, 0), MATCH(T$2, Volcado_Dist!$1:$1, 0)) / SUM(INDEX(Volcado_Dist!$A:$ZZ, 0, MATCH(T$2, Volcado_Dist!$1:$1, 0))), 0)</f>
        <v>1.2116277157377297E-2</v>
      </c>
      <c r="U13" s="16">
        <f>IFERROR(INDEX(Volcado_Dist!$A:$ZZ, MATCH($B13, Volcado_Dist!$A:$A, 0), MATCH(U$2, Volcado_Dist!$1:$1, 0)) / SUM(INDEX(Volcado_Dist!$A:$ZZ, 0, MATCH(U$2, Volcado_Dist!$1:$1, 0))), 0)</f>
        <v>-2.4818105945233326E-3</v>
      </c>
      <c r="V13" s="16">
        <f>IFERROR(INDEX(Volcado_Dist!$A:$ZZ, MATCH($B13, Volcado_Dist!$A:$A, 0), MATCH(V$2, Volcado_Dist!$1:$1, 0)) / SUM(INDEX(Volcado_Dist!$A:$ZZ, 0, MATCH(V$2, Volcado_Dist!$1:$1, 0))), 0)</f>
        <v>9.9614013160398071E-3</v>
      </c>
      <c r="W13" s="16">
        <f t="shared" si="1"/>
        <v>4.8133823075150921E-3</v>
      </c>
      <c r="X13" s="17">
        <f>IFERROR(SUM(_xlfn.XLOOKUP($B13, Volcado_Vend!$A:$A, Volcado_Vend!$C:$ZZ, 0)) / SUM(Volcado_Vend!$C:$ZZ), 0)</f>
        <v>6.4722807470192012E-3</v>
      </c>
      <c r="Y13" s="24">
        <f t="shared" si="0"/>
        <v>5.6428315272671467E-3</v>
      </c>
    </row>
    <row r="14" spans="2:25" x14ac:dyDescent="0.25">
      <c r="B14" s="15" t="s">
        <v>38</v>
      </c>
      <c r="C14" s="16">
        <f>IFERROR(INDEX(Volcado_Dist!$A:$ZZ, MATCH($B14, Volcado_Dist!$A:$A, 0), MATCH(C$2, Volcado_Dist!$1:$1, 0)) / SUM(INDEX(Volcado_Dist!$A:$ZZ, 0, MATCH(C$2, Volcado_Dist!$1:$1, 0))), 0)</f>
        <v>3.3600803915441661E-3</v>
      </c>
      <c r="D14" s="16">
        <f>IFERROR(INDEX(Volcado_Dist!$A:$ZZ, MATCH($B14, Volcado_Dist!$A:$A, 0), MATCH(D$2, Volcado_Dist!$1:$1, 0)) / SUM(INDEX(Volcado_Dist!$A:$ZZ, 0, MATCH(D$2, Volcado_Dist!$1:$1, 0))), 0)</f>
        <v>0</v>
      </c>
      <c r="E14" s="16">
        <f>IFERROR(INDEX(Volcado_Dist!$A:$ZZ, MATCH($B14, Volcado_Dist!$A:$A, 0), MATCH(E$2, Volcado_Dist!$1:$1, 0)) / SUM(INDEX(Volcado_Dist!$A:$ZZ, 0, MATCH(E$2, Volcado_Dist!$1:$1, 0))), 0)</f>
        <v>1.7693867124044407E-3</v>
      </c>
      <c r="F14" s="16">
        <f>IFERROR(INDEX(Volcado_Dist!$A:$ZZ, MATCH($B14, Volcado_Dist!$A:$A, 0), MATCH(F$2, Volcado_Dist!$1:$1, 0)) / SUM(INDEX(Volcado_Dist!$A:$ZZ, 0, MATCH(F$2, Volcado_Dist!$1:$1, 0))), 0)</f>
        <v>4.385421967819044E-4</v>
      </c>
      <c r="G14" s="16">
        <f>IFERROR(INDEX(Volcado_Dist!$A:$ZZ, MATCH($B14, Volcado_Dist!$A:$A, 0), MATCH(G$2, Volcado_Dist!$1:$1, 0)) / SUM(INDEX(Volcado_Dist!$A:$ZZ, 0, MATCH(G$2, Volcado_Dist!$1:$1, 0))), 0)</f>
        <v>0</v>
      </c>
      <c r="H14" s="16">
        <f>IFERROR(INDEX(Volcado_Dist!$A:$ZZ, MATCH($B14, Volcado_Dist!$A:$A, 0), MATCH(H$2, Volcado_Dist!$1:$1, 0)) / SUM(INDEX(Volcado_Dist!$A:$ZZ, 0, MATCH(H$2, Volcado_Dist!$1:$1, 0))), 0)</f>
        <v>0</v>
      </c>
      <c r="I14" s="16">
        <f>IFERROR(INDEX(Volcado_Dist!$A:$ZZ, MATCH($B14, Volcado_Dist!$A:$A, 0), MATCH(I$2, Volcado_Dist!$1:$1, 0)) / SUM(INDEX(Volcado_Dist!$A:$ZZ, 0, MATCH(I$2, Volcado_Dist!$1:$1, 0))), 0)</f>
        <v>8.5475275581024291E-4</v>
      </c>
      <c r="J14" s="16">
        <f>IFERROR(INDEX(Volcado_Dist!$A:$ZZ, MATCH($B14, Volcado_Dist!$A:$A, 0), MATCH(J$2, Volcado_Dist!$1:$1, 0)) / SUM(INDEX(Volcado_Dist!$A:$ZZ, 0, MATCH(J$2, Volcado_Dist!$1:$1, 0))), 0)</f>
        <v>0</v>
      </c>
      <c r="K14" s="16">
        <f>IFERROR(INDEX(Volcado_Dist!$A:$ZZ, MATCH($B14, Volcado_Dist!$A:$A, 0), MATCH(K$2, Volcado_Dist!$1:$1, 0)) / SUM(INDEX(Volcado_Dist!$A:$ZZ, 0, MATCH(K$2, Volcado_Dist!$1:$1, 0))), 0)</f>
        <v>2.1035921248195363E-3</v>
      </c>
      <c r="L14" s="16">
        <f>IFERROR(INDEX(Volcado_Dist!$A:$ZZ, MATCH($B14, Volcado_Dist!$A:$A, 0), MATCH(L$2, Volcado_Dist!$1:$1, 0)) / SUM(INDEX(Volcado_Dist!$A:$ZZ, 0, MATCH(L$2, Volcado_Dist!$1:$1, 0))), 0)</f>
        <v>5.0393461677408595E-4</v>
      </c>
      <c r="M14" s="16">
        <f>IFERROR(INDEX(Volcado_Dist!$A:$ZZ, MATCH($B14, Volcado_Dist!$A:$A, 0), MATCH(M$2, Volcado_Dist!$1:$1, 0)) / SUM(INDEX(Volcado_Dist!$A:$ZZ, 0, MATCH(M$2, Volcado_Dist!$1:$1, 0))), 0)</f>
        <v>-1.3718605549379014E-4</v>
      </c>
      <c r="N14" s="16">
        <f>IFERROR(INDEX(Volcado_Dist!$A:$ZZ, MATCH($B14, Volcado_Dist!$A:$A, 0), MATCH(N$2, Volcado_Dist!$1:$1, 0)) / SUM(INDEX(Volcado_Dist!$A:$ZZ, 0, MATCH(N$2, Volcado_Dist!$1:$1, 0))), 0)</f>
        <v>0</v>
      </c>
      <c r="O14" s="16">
        <f>IFERROR(INDEX(Volcado_Dist!$A:$ZZ, MATCH($B14, Volcado_Dist!$A:$A, 0), MATCH(O$2, Volcado_Dist!$1:$1, 0)) / SUM(INDEX(Volcado_Dist!$A:$ZZ, 0, MATCH(O$2, Volcado_Dist!$1:$1, 0))), 0)</f>
        <v>8.1652744865655814E-3</v>
      </c>
      <c r="P14" s="16">
        <f>IFERROR(INDEX(Volcado_Dist!$A:$ZZ, MATCH($B14, Volcado_Dist!$A:$A, 0), MATCH(P$2, Volcado_Dist!$1:$1, 0)) / SUM(INDEX(Volcado_Dist!$A:$ZZ, 0, MATCH(P$2, Volcado_Dist!$1:$1, 0))), 0)</f>
        <v>4.2765621363486343E-4</v>
      </c>
      <c r="Q14" s="16">
        <f>IFERROR(INDEX(Volcado_Dist!$A:$ZZ, MATCH($B14, Volcado_Dist!$A:$A, 0), MATCH(Q$2, Volcado_Dist!$1:$1, 0)) / SUM(INDEX(Volcado_Dist!$A:$ZZ, 0, MATCH(Q$2, Volcado_Dist!$1:$1, 0))), 0)</f>
        <v>0</v>
      </c>
      <c r="R14" s="16">
        <f>IFERROR(INDEX(Volcado_Dist!$A:$ZZ, MATCH($B14, Volcado_Dist!$A:$A, 0), MATCH(R$2, Volcado_Dist!$1:$1, 0)) / SUM(INDEX(Volcado_Dist!$A:$ZZ, 0, MATCH(R$2, Volcado_Dist!$1:$1, 0))), 0)</f>
        <v>0</v>
      </c>
      <c r="S14" s="16">
        <f>IFERROR(INDEX(Volcado_Dist!$A:$ZZ, MATCH($B14, Volcado_Dist!$A:$A, 0), MATCH(S$2, Volcado_Dist!$1:$1, 0)) / SUM(INDEX(Volcado_Dist!$A:$ZZ, 0, MATCH(S$2, Volcado_Dist!$1:$1, 0))), 0)</f>
        <v>5.5244971372802503E-4</v>
      </c>
      <c r="T14" s="16">
        <f>IFERROR(INDEX(Volcado_Dist!$A:$ZZ, MATCH($B14, Volcado_Dist!$A:$A, 0), MATCH(T$2, Volcado_Dist!$1:$1, 0)) / SUM(INDEX(Volcado_Dist!$A:$ZZ, 0, MATCH(T$2, Volcado_Dist!$1:$1, 0))), 0)</f>
        <v>0</v>
      </c>
      <c r="U14" s="16">
        <f>IFERROR(INDEX(Volcado_Dist!$A:$ZZ, MATCH($B14, Volcado_Dist!$A:$A, 0), MATCH(U$2, Volcado_Dist!$1:$1, 0)) / SUM(INDEX(Volcado_Dist!$A:$ZZ, 0, MATCH(U$2, Volcado_Dist!$1:$1, 0))), 0)</f>
        <v>0</v>
      </c>
      <c r="V14" s="16">
        <f>IFERROR(INDEX(Volcado_Dist!$A:$ZZ, MATCH($B14, Volcado_Dist!$A:$A, 0), MATCH(V$2, Volcado_Dist!$1:$1, 0)) / SUM(INDEX(Volcado_Dist!$A:$ZZ, 0, MATCH(V$2, Volcado_Dist!$1:$1, 0))), 0)</f>
        <v>2.6085264045910255E-3</v>
      </c>
      <c r="W14" s="16">
        <f t="shared" si="1"/>
        <v>1.0323504780580038E-3</v>
      </c>
      <c r="X14" s="17">
        <f>IFERROR(SUM(_xlfn.XLOOKUP($B14, Volcado_Vend!$A:$A, Volcado_Vend!$C:$ZZ, 0)) / SUM(Volcado_Vend!$C:$ZZ), 0)</f>
        <v>2.2621741012735738E-3</v>
      </c>
      <c r="Y14" s="24">
        <f t="shared" si="0"/>
        <v>1.6472622896657888E-3</v>
      </c>
    </row>
    <row r="15" spans="2:25" x14ac:dyDescent="0.25">
      <c r="B15" s="15" t="s">
        <v>39</v>
      </c>
      <c r="C15" s="16">
        <f>IFERROR(INDEX(Volcado_Dist!$A:$ZZ, MATCH($B15, Volcado_Dist!$A:$A, 0), MATCH(C$2, Volcado_Dist!$1:$1, 0)) / SUM(INDEX(Volcado_Dist!$A:$ZZ, 0, MATCH(C$2, Volcado_Dist!$1:$1, 0))), 0)</f>
        <v>3.498127606566022E-3</v>
      </c>
      <c r="D15" s="16">
        <f>IFERROR(INDEX(Volcado_Dist!$A:$ZZ, MATCH($B15, Volcado_Dist!$A:$A, 0), MATCH(D$2, Volcado_Dist!$1:$1, 0)) / SUM(INDEX(Volcado_Dist!$A:$ZZ, 0, MATCH(D$2, Volcado_Dist!$1:$1, 0))), 0)</f>
        <v>0</v>
      </c>
      <c r="E15" s="16">
        <f>IFERROR(INDEX(Volcado_Dist!$A:$ZZ, MATCH($B15, Volcado_Dist!$A:$A, 0), MATCH(E$2, Volcado_Dist!$1:$1, 0)) / SUM(INDEX(Volcado_Dist!$A:$ZZ, 0, MATCH(E$2, Volcado_Dist!$1:$1, 0))), 0)</f>
        <v>7.4425452367052206E-4</v>
      </c>
      <c r="F15" s="16">
        <f>IFERROR(INDEX(Volcado_Dist!$A:$ZZ, MATCH($B15, Volcado_Dist!$A:$A, 0), MATCH(F$2, Volcado_Dist!$1:$1, 0)) / SUM(INDEX(Volcado_Dist!$A:$ZZ, 0, MATCH(F$2, Volcado_Dist!$1:$1, 0))), 0)</f>
        <v>7.0082270412564424E-3</v>
      </c>
      <c r="G15" s="16">
        <f>IFERROR(INDEX(Volcado_Dist!$A:$ZZ, MATCH($B15, Volcado_Dist!$A:$A, 0), MATCH(G$2, Volcado_Dist!$1:$1, 0)) / SUM(INDEX(Volcado_Dist!$A:$ZZ, 0, MATCH(G$2, Volcado_Dist!$1:$1, 0))), 0)</f>
        <v>0</v>
      </c>
      <c r="H15" s="16">
        <f>IFERROR(INDEX(Volcado_Dist!$A:$ZZ, MATCH($B15, Volcado_Dist!$A:$A, 0), MATCH(H$2, Volcado_Dist!$1:$1, 0)) / SUM(INDEX(Volcado_Dist!$A:$ZZ, 0, MATCH(H$2, Volcado_Dist!$1:$1, 0))), 0)</f>
        <v>0</v>
      </c>
      <c r="I15" s="16">
        <f>IFERROR(INDEX(Volcado_Dist!$A:$ZZ, MATCH($B15, Volcado_Dist!$A:$A, 0), MATCH(I$2, Volcado_Dist!$1:$1, 0)) / SUM(INDEX(Volcado_Dist!$A:$ZZ, 0, MATCH(I$2, Volcado_Dist!$1:$1, 0))), 0)</f>
        <v>6.4653729626653897E-3</v>
      </c>
      <c r="J15" s="16">
        <f>IFERROR(INDEX(Volcado_Dist!$A:$ZZ, MATCH($B15, Volcado_Dist!$A:$A, 0), MATCH(J$2, Volcado_Dist!$1:$1, 0)) / SUM(INDEX(Volcado_Dist!$A:$ZZ, 0, MATCH(J$2, Volcado_Dist!$1:$1, 0))), 0)</f>
        <v>0</v>
      </c>
      <c r="K15" s="16">
        <f>IFERROR(INDEX(Volcado_Dist!$A:$ZZ, MATCH($B15, Volcado_Dist!$A:$A, 0), MATCH(K$2, Volcado_Dist!$1:$1, 0)) / SUM(INDEX(Volcado_Dist!$A:$ZZ, 0, MATCH(K$2, Volcado_Dist!$1:$1, 0))), 0)</f>
        <v>2.7544157192483936E-3</v>
      </c>
      <c r="L15" s="16">
        <f>IFERROR(INDEX(Volcado_Dist!$A:$ZZ, MATCH($B15, Volcado_Dist!$A:$A, 0), MATCH(L$2, Volcado_Dist!$1:$1, 0)) / SUM(INDEX(Volcado_Dist!$A:$ZZ, 0, MATCH(L$2, Volcado_Dist!$1:$1, 0))), 0)</f>
        <v>5.0854977555396998E-3</v>
      </c>
      <c r="M15" s="16">
        <f>IFERROR(INDEX(Volcado_Dist!$A:$ZZ, MATCH($B15, Volcado_Dist!$A:$A, 0), MATCH(M$2, Volcado_Dist!$1:$1, 0)) / SUM(INDEX(Volcado_Dist!$A:$ZZ, 0, MATCH(M$2, Volcado_Dist!$1:$1, 0))), 0)</f>
        <v>3.1534396166091744E-2</v>
      </c>
      <c r="N15" s="16">
        <f>IFERROR(INDEX(Volcado_Dist!$A:$ZZ, MATCH($B15, Volcado_Dist!$A:$A, 0), MATCH(N$2, Volcado_Dist!$1:$1, 0)) / SUM(INDEX(Volcado_Dist!$A:$ZZ, 0, MATCH(N$2, Volcado_Dist!$1:$1, 0))), 0)</f>
        <v>0</v>
      </c>
      <c r="O15" s="16">
        <f>IFERROR(INDEX(Volcado_Dist!$A:$ZZ, MATCH($B15, Volcado_Dist!$A:$A, 0), MATCH(O$2, Volcado_Dist!$1:$1, 0)) / SUM(INDEX(Volcado_Dist!$A:$ZZ, 0, MATCH(O$2, Volcado_Dist!$1:$1, 0))), 0)</f>
        <v>5.3849771224613431E-3</v>
      </c>
      <c r="P15" s="16">
        <f>IFERROR(INDEX(Volcado_Dist!$A:$ZZ, MATCH($B15, Volcado_Dist!$A:$A, 0), MATCH(P$2, Volcado_Dist!$1:$1, 0)) / SUM(INDEX(Volcado_Dist!$A:$ZZ, 0, MATCH(P$2, Volcado_Dist!$1:$1, 0))), 0)</f>
        <v>4.378996786729158E-3</v>
      </c>
      <c r="Q15" s="16">
        <f>IFERROR(INDEX(Volcado_Dist!$A:$ZZ, MATCH($B15, Volcado_Dist!$A:$A, 0), MATCH(Q$2, Volcado_Dist!$1:$1, 0)) / SUM(INDEX(Volcado_Dist!$A:$ZZ, 0, MATCH(Q$2, Volcado_Dist!$1:$1, 0))), 0)</f>
        <v>1.4507185409408983E-2</v>
      </c>
      <c r="R15" s="16">
        <f>IFERROR(INDEX(Volcado_Dist!$A:$ZZ, MATCH($B15, Volcado_Dist!$A:$A, 0), MATCH(R$2, Volcado_Dist!$1:$1, 0)) / SUM(INDEX(Volcado_Dist!$A:$ZZ, 0, MATCH(R$2, Volcado_Dist!$1:$1, 0))), 0)</f>
        <v>0</v>
      </c>
      <c r="S15" s="16">
        <f>IFERROR(INDEX(Volcado_Dist!$A:$ZZ, MATCH($B15, Volcado_Dist!$A:$A, 0), MATCH(S$2, Volcado_Dist!$1:$1, 0)) / SUM(INDEX(Volcado_Dist!$A:$ZZ, 0, MATCH(S$2, Volcado_Dist!$1:$1, 0))), 0)</f>
        <v>6.0969667418022533E-5</v>
      </c>
      <c r="T15" s="16">
        <f>IFERROR(INDEX(Volcado_Dist!$A:$ZZ, MATCH($B15, Volcado_Dist!$A:$A, 0), MATCH(T$2, Volcado_Dist!$1:$1, 0)) / SUM(INDEX(Volcado_Dist!$A:$ZZ, 0, MATCH(T$2, Volcado_Dist!$1:$1, 0))), 0)</f>
        <v>8.7694744699968972E-5</v>
      </c>
      <c r="U15" s="16">
        <f>IFERROR(INDEX(Volcado_Dist!$A:$ZZ, MATCH($B15, Volcado_Dist!$A:$A, 0), MATCH(U$2, Volcado_Dist!$1:$1, 0)) / SUM(INDEX(Volcado_Dist!$A:$ZZ, 0, MATCH(U$2, Volcado_Dist!$1:$1, 0))), 0)</f>
        <v>2.3504626942428625E-2</v>
      </c>
      <c r="V15" s="16">
        <f>IFERROR(INDEX(Volcado_Dist!$A:$ZZ, MATCH($B15, Volcado_Dist!$A:$A, 0), MATCH(V$2, Volcado_Dist!$1:$1, 0)) / SUM(INDEX(Volcado_Dist!$A:$ZZ, 0, MATCH(V$2, Volcado_Dist!$1:$1, 0))), 0)</f>
        <v>1.1114101024288173E-2</v>
      </c>
      <c r="W15" s="16">
        <f t="shared" si="1"/>
        <v>5.8064421736236244E-3</v>
      </c>
      <c r="X15" s="17">
        <f>IFERROR(SUM(_xlfn.XLOOKUP($B15, Volcado_Vend!$A:$A, Volcado_Vend!$C:$ZZ, 0)) / SUM(Volcado_Vend!$C:$ZZ), 0)</f>
        <v>2.1385760180226015E-2</v>
      </c>
      <c r="Y15" s="24">
        <f t="shared" si="0"/>
        <v>1.359610117692482E-2</v>
      </c>
    </row>
    <row r="16" spans="2:25" x14ac:dyDescent="0.25">
      <c r="B16" s="15" t="s">
        <v>40</v>
      </c>
      <c r="C16" s="16">
        <f>IFERROR(INDEX(Volcado_Dist!$A:$ZZ, MATCH($B16, Volcado_Dist!$A:$A, 0), MATCH(C$2, Volcado_Dist!$1:$1, 0)) / SUM(INDEX(Volcado_Dist!$A:$ZZ, 0, MATCH(C$2, Volcado_Dist!$1:$1, 0))), 0)</f>
        <v>0</v>
      </c>
      <c r="D16" s="16">
        <f>IFERROR(INDEX(Volcado_Dist!$A:$ZZ, MATCH($B16, Volcado_Dist!$A:$A, 0), MATCH(D$2, Volcado_Dist!$1:$1, 0)) / SUM(INDEX(Volcado_Dist!$A:$ZZ, 0, MATCH(D$2, Volcado_Dist!$1:$1, 0))), 0)</f>
        <v>0</v>
      </c>
      <c r="E16" s="16">
        <f>IFERROR(INDEX(Volcado_Dist!$A:$ZZ, MATCH($B16, Volcado_Dist!$A:$A, 0), MATCH(E$2, Volcado_Dist!$1:$1, 0)) / SUM(INDEX(Volcado_Dist!$A:$ZZ, 0, MATCH(E$2, Volcado_Dist!$1:$1, 0))), 0)</f>
        <v>0</v>
      </c>
      <c r="F16" s="16">
        <f>IFERROR(INDEX(Volcado_Dist!$A:$ZZ, MATCH($B16, Volcado_Dist!$A:$A, 0), MATCH(F$2, Volcado_Dist!$1:$1, 0)) / SUM(INDEX(Volcado_Dist!$A:$ZZ, 0, MATCH(F$2, Volcado_Dist!$1:$1, 0))), 0)</f>
        <v>-4.5562825639678379E-5</v>
      </c>
      <c r="G16" s="16">
        <f>IFERROR(INDEX(Volcado_Dist!$A:$ZZ, MATCH($B16, Volcado_Dist!$A:$A, 0), MATCH(G$2, Volcado_Dist!$1:$1, 0)) / SUM(INDEX(Volcado_Dist!$A:$ZZ, 0, MATCH(G$2, Volcado_Dist!$1:$1, 0))), 0)</f>
        <v>0</v>
      </c>
      <c r="H16" s="16">
        <f>IFERROR(INDEX(Volcado_Dist!$A:$ZZ, MATCH($B16, Volcado_Dist!$A:$A, 0), MATCH(H$2, Volcado_Dist!$1:$1, 0)) / SUM(INDEX(Volcado_Dist!$A:$ZZ, 0, MATCH(H$2, Volcado_Dist!$1:$1, 0))), 0)</f>
        <v>0</v>
      </c>
      <c r="I16" s="16">
        <f>IFERROR(INDEX(Volcado_Dist!$A:$ZZ, MATCH($B16, Volcado_Dist!$A:$A, 0), MATCH(I$2, Volcado_Dist!$1:$1, 0)) / SUM(INDEX(Volcado_Dist!$A:$ZZ, 0, MATCH(I$2, Volcado_Dist!$1:$1, 0))), 0)</f>
        <v>0</v>
      </c>
      <c r="J16" s="16">
        <f>IFERROR(INDEX(Volcado_Dist!$A:$ZZ, MATCH($B16, Volcado_Dist!$A:$A, 0), MATCH(J$2, Volcado_Dist!$1:$1, 0)) / SUM(INDEX(Volcado_Dist!$A:$ZZ, 0, MATCH(J$2, Volcado_Dist!$1:$1, 0))), 0)</f>
        <v>0</v>
      </c>
      <c r="K16" s="16">
        <f>IFERROR(INDEX(Volcado_Dist!$A:$ZZ, MATCH($B16, Volcado_Dist!$A:$A, 0), MATCH(K$2, Volcado_Dist!$1:$1, 0)) / SUM(INDEX(Volcado_Dist!$A:$ZZ, 0, MATCH(K$2, Volcado_Dist!$1:$1, 0))), 0)</f>
        <v>-3.0024508472000514E-4</v>
      </c>
      <c r="L16" s="16">
        <f>IFERROR(INDEX(Volcado_Dist!$A:$ZZ, MATCH($B16, Volcado_Dist!$A:$A, 0), MATCH(L$2, Volcado_Dist!$1:$1, 0)) / SUM(INDEX(Volcado_Dist!$A:$ZZ, 0, MATCH(L$2, Volcado_Dist!$1:$1, 0))), 0)</f>
        <v>0</v>
      </c>
      <c r="M16" s="16">
        <f>IFERROR(INDEX(Volcado_Dist!$A:$ZZ, MATCH($B16, Volcado_Dist!$A:$A, 0), MATCH(M$2, Volcado_Dist!$1:$1, 0)) / SUM(INDEX(Volcado_Dist!$A:$ZZ, 0, MATCH(M$2, Volcado_Dist!$1:$1, 0))), 0)</f>
        <v>0</v>
      </c>
      <c r="N16" s="16">
        <f>IFERROR(INDEX(Volcado_Dist!$A:$ZZ, MATCH($B16, Volcado_Dist!$A:$A, 0), MATCH(N$2, Volcado_Dist!$1:$1, 0)) / SUM(INDEX(Volcado_Dist!$A:$ZZ, 0, MATCH(N$2, Volcado_Dist!$1:$1, 0))), 0)</f>
        <v>0</v>
      </c>
      <c r="O16" s="16">
        <f>IFERROR(INDEX(Volcado_Dist!$A:$ZZ, MATCH($B16, Volcado_Dist!$A:$A, 0), MATCH(O$2, Volcado_Dist!$1:$1, 0)) / SUM(INDEX(Volcado_Dist!$A:$ZZ, 0, MATCH(O$2, Volcado_Dist!$1:$1, 0))), 0)</f>
        <v>0</v>
      </c>
      <c r="P16" s="16">
        <f>IFERROR(INDEX(Volcado_Dist!$A:$ZZ, MATCH($B16, Volcado_Dist!$A:$A, 0), MATCH(P$2, Volcado_Dist!$1:$1, 0)) / SUM(INDEX(Volcado_Dist!$A:$ZZ, 0, MATCH(P$2, Volcado_Dist!$1:$1, 0))), 0)</f>
        <v>0</v>
      </c>
      <c r="Q16" s="16">
        <f>IFERROR(INDEX(Volcado_Dist!$A:$ZZ, MATCH($B16, Volcado_Dist!$A:$A, 0), MATCH(Q$2, Volcado_Dist!$1:$1, 0)) / SUM(INDEX(Volcado_Dist!$A:$ZZ, 0, MATCH(Q$2, Volcado_Dist!$1:$1, 0))), 0)</f>
        <v>0</v>
      </c>
      <c r="R16" s="16">
        <f>IFERROR(INDEX(Volcado_Dist!$A:$ZZ, MATCH($B16, Volcado_Dist!$A:$A, 0), MATCH(R$2, Volcado_Dist!$1:$1, 0)) / SUM(INDEX(Volcado_Dist!$A:$ZZ, 0, MATCH(R$2, Volcado_Dist!$1:$1, 0))), 0)</f>
        <v>0</v>
      </c>
      <c r="S16" s="16">
        <f>IFERROR(INDEX(Volcado_Dist!$A:$ZZ, MATCH($B16, Volcado_Dist!$A:$A, 0), MATCH(S$2, Volcado_Dist!$1:$1, 0)) / SUM(INDEX(Volcado_Dist!$A:$ZZ, 0, MATCH(S$2, Volcado_Dist!$1:$1, 0))), 0)</f>
        <v>0</v>
      </c>
      <c r="T16" s="16">
        <f>IFERROR(INDEX(Volcado_Dist!$A:$ZZ, MATCH($B16, Volcado_Dist!$A:$A, 0), MATCH(T$2, Volcado_Dist!$1:$1, 0)) / SUM(INDEX(Volcado_Dist!$A:$ZZ, 0, MATCH(T$2, Volcado_Dist!$1:$1, 0))), 0)</f>
        <v>0</v>
      </c>
      <c r="U16" s="16">
        <f>IFERROR(INDEX(Volcado_Dist!$A:$ZZ, MATCH($B16, Volcado_Dist!$A:$A, 0), MATCH(U$2, Volcado_Dist!$1:$1, 0)) / SUM(INDEX(Volcado_Dist!$A:$ZZ, 0, MATCH(U$2, Volcado_Dist!$1:$1, 0))), 0)</f>
        <v>0</v>
      </c>
      <c r="V16" s="16">
        <f>IFERROR(INDEX(Volcado_Dist!$A:$ZZ, MATCH($B16, Volcado_Dist!$A:$A, 0), MATCH(V$2, Volcado_Dist!$1:$1, 0)) / SUM(INDEX(Volcado_Dist!$A:$ZZ, 0, MATCH(V$2, Volcado_Dist!$1:$1, 0))), 0)</f>
        <v>0</v>
      </c>
      <c r="W16" s="16">
        <f t="shared" si="1"/>
        <v>-1.7290395517984177E-5</v>
      </c>
      <c r="X16" s="17">
        <f>IFERROR(SUM(_xlfn.XLOOKUP($B16, Volcado_Vend!$A:$A, Volcado_Vend!$C:$ZZ, 0)) / SUM(Volcado_Vend!$C:$ZZ), 0)</f>
        <v>0</v>
      </c>
      <c r="Y16" s="24">
        <f t="shared" si="0"/>
        <v>-8.6451977589920886E-6</v>
      </c>
    </row>
    <row r="17" spans="2:25" x14ac:dyDescent="0.25">
      <c r="B17" s="15" t="s">
        <v>41</v>
      </c>
      <c r="C17" s="16">
        <f>IFERROR(INDEX(Volcado_Dist!$A:$ZZ, MATCH($B17, Volcado_Dist!$A:$A, 0), MATCH(C$2, Volcado_Dist!$1:$1, 0)) / SUM(INDEX(Volcado_Dist!$A:$ZZ, 0, MATCH(C$2, Volcado_Dist!$1:$1, 0))), 0)</f>
        <v>2.4524264248349713E-2</v>
      </c>
      <c r="D17" s="16">
        <f>IFERROR(INDEX(Volcado_Dist!$A:$ZZ, MATCH($B17, Volcado_Dist!$A:$A, 0), MATCH(D$2, Volcado_Dist!$1:$1, 0)) / SUM(INDEX(Volcado_Dist!$A:$ZZ, 0, MATCH(D$2, Volcado_Dist!$1:$1, 0))), 0)</f>
        <v>0</v>
      </c>
      <c r="E17" s="16">
        <f>IFERROR(INDEX(Volcado_Dist!$A:$ZZ, MATCH($B17, Volcado_Dist!$A:$A, 0), MATCH(E$2, Volcado_Dist!$1:$1, 0)) / SUM(INDEX(Volcado_Dist!$A:$ZZ, 0, MATCH(E$2, Volcado_Dist!$1:$1, 0))), 0)</f>
        <v>2.0014886164433757E-2</v>
      </c>
      <c r="F17" s="16">
        <f>IFERROR(INDEX(Volcado_Dist!$A:$ZZ, MATCH($B17, Volcado_Dist!$A:$A, 0), MATCH(F$2, Volcado_Dist!$1:$1, 0)) / SUM(INDEX(Volcado_Dist!$A:$ZZ, 0, MATCH(F$2, Volcado_Dist!$1:$1, 0))), 0)</f>
        <v>5.9107127544937438E-3</v>
      </c>
      <c r="G17" s="16">
        <f>IFERROR(INDEX(Volcado_Dist!$A:$ZZ, MATCH($B17, Volcado_Dist!$A:$A, 0), MATCH(G$2, Volcado_Dist!$1:$1, 0)) / SUM(INDEX(Volcado_Dist!$A:$ZZ, 0, MATCH(G$2, Volcado_Dist!$1:$1, 0))), 0)</f>
        <v>0</v>
      </c>
      <c r="H17" s="16">
        <f>IFERROR(INDEX(Volcado_Dist!$A:$ZZ, MATCH($B17, Volcado_Dist!$A:$A, 0), MATCH(H$2, Volcado_Dist!$1:$1, 0)) / SUM(INDEX(Volcado_Dist!$A:$ZZ, 0, MATCH(H$2, Volcado_Dist!$1:$1, 0))), 0)</f>
        <v>0</v>
      </c>
      <c r="I17" s="16">
        <f>IFERROR(INDEX(Volcado_Dist!$A:$ZZ, MATCH($B17, Volcado_Dist!$A:$A, 0), MATCH(I$2, Volcado_Dist!$1:$1, 0)) / SUM(INDEX(Volcado_Dist!$A:$ZZ, 0, MATCH(I$2, Volcado_Dist!$1:$1, 0))), 0)</f>
        <v>8.8991858619743638E-3</v>
      </c>
      <c r="J17" s="16">
        <f>IFERROR(INDEX(Volcado_Dist!$A:$ZZ, MATCH($B17, Volcado_Dist!$A:$A, 0), MATCH(J$2, Volcado_Dist!$1:$1, 0)) / SUM(INDEX(Volcado_Dist!$A:$ZZ, 0, MATCH(J$2, Volcado_Dist!$1:$1, 0))), 0)</f>
        <v>0</v>
      </c>
      <c r="K17" s="16">
        <f>IFERROR(INDEX(Volcado_Dist!$A:$ZZ, MATCH($B17, Volcado_Dist!$A:$A, 0), MATCH(K$2, Volcado_Dist!$1:$1, 0)) / SUM(INDEX(Volcado_Dist!$A:$ZZ, 0, MATCH(K$2, Volcado_Dist!$1:$1, 0))), 0)</f>
        <v>1.8785486777433909E-2</v>
      </c>
      <c r="L17" s="16">
        <f>IFERROR(INDEX(Volcado_Dist!$A:$ZZ, MATCH($B17, Volcado_Dist!$A:$A, 0), MATCH(L$2, Volcado_Dist!$1:$1, 0)) / SUM(INDEX(Volcado_Dist!$A:$ZZ, 0, MATCH(L$2, Volcado_Dist!$1:$1, 0))), 0)</f>
        <v>6.1992441610969696E-3</v>
      </c>
      <c r="M17" s="16">
        <f>IFERROR(INDEX(Volcado_Dist!$A:$ZZ, MATCH($B17, Volcado_Dist!$A:$A, 0), MATCH(M$2, Volcado_Dist!$1:$1, 0)) / SUM(INDEX(Volcado_Dist!$A:$ZZ, 0, MATCH(M$2, Volcado_Dist!$1:$1, 0))), 0)</f>
        <v>3.3658414749426623E-2</v>
      </c>
      <c r="N17" s="16">
        <f>IFERROR(INDEX(Volcado_Dist!$A:$ZZ, MATCH($B17, Volcado_Dist!$A:$A, 0), MATCH(N$2, Volcado_Dist!$1:$1, 0)) / SUM(INDEX(Volcado_Dist!$A:$ZZ, 0, MATCH(N$2, Volcado_Dist!$1:$1, 0))), 0)</f>
        <v>0</v>
      </c>
      <c r="O17" s="16">
        <f>IFERROR(INDEX(Volcado_Dist!$A:$ZZ, MATCH($B17, Volcado_Dist!$A:$A, 0), MATCH(O$2, Volcado_Dist!$1:$1, 0)) / SUM(INDEX(Volcado_Dist!$A:$ZZ, 0, MATCH(O$2, Volcado_Dist!$1:$1, 0))), 0)</f>
        <v>4.7882549351915202E-2</v>
      </c>
      <c r="P17" s="16">
        <f>IFERROR(INDEX(Volcado_Dist!$A:$ZZ, MATCH($B17, Volcado_Dist!$A:$A, 0), MATCH(P$2, Volcado_Dist!$1:$1, 0)) / SUM(INDEX(Volcado_Dist!$A:$ZZ, 0, MATCH(P$2, Volcado_Dist!$1:$1, 0))), 0)</f>
        <v>2.1645016560789831E-2</v>
      </c>
      <c r="Q17" s="16">
        <f>IFERROR(INDEX(Volcado_Dist!$A:$ZZ, MATCH($B17, Volcado_Dist!$A:$A, 0), MATCH(Q$2, Volcado_Dist!$1:$1, 0)) / SUM(INDEX(Volcado_Dist!$A:$ZZ, 0, MATCH(Q$2, Volcado_Dist!$1:$1, 0))), 0)</f>
        <v>1.5784144659294702E-2</v>
      </c>
      <c r="R17" s="16">
        <f>IFERROR(INDEX(Volcado_Dist!$A:$ZZ, MATCH($B17, Volcado_Dist!$A:$A, 0), MATCH(R$2, Volcado_Dist!$1:$1, 0)) / SUM(INDEX(Volcado_Dist!$A:$ZZ, 0, MATCH(R$2, Volcado_Dist!$1:$1, 0))), 0)</f>
        <v>8.3955152461551455E-2</v>
      </c>
      <c r="S17" s="16">
        <f>IFERROR(INDEX(Volcado_Dist!$A:$ZZ, MATCH($B17, Volcado_Dist!$A:$A, 0), MATCH(S$2, Volcado_Dist!$1:$1, 0)) / SUM(INDEX(Volcado_Dist!$A:$ZZ, 0, MATCH(S$2, Volcado_Dist!$1:$1, 0))), 0)</f>
        <v>1.1597721281322696E-2</v>
      </c>
      <c r="T17" s="16">
        <f>IFERROR(INDEX(Volcado_Dist!$A:$ZZ, MATCH($B17, Volcado_Dist!$A:$A, 0), MATCH(T$2, Volcado_Dist!$1:$1, 0)) / SUM(INDEX(Volcado_Dist!$A:$ZZ, 0, MATCH(T$2, Volcado_Dist!$1:$1, 0))), 0)</f>
        <v>7.5068085206679555E-5</v>
      </c>
      <c r="U17" s="16">
        <f>IFERROR(INDEX(Volcado_Dist!$A:$ZZ, MATCH($B17, Volcado_Dist!$A:$A, 0), MATCH(U$2, Volcado_Dist!$1:$1, 0)) / SUM(INDEX(Volcado_Dist!$A:$ZZ, 0, MATCH(U$2, Volcado_Dist!$1:$1, 0))), 0)</f>
        <v>4.5775684035851395E-2</v>
      </c>
      <c r="V17" s="16">
        <f>IFERROR(INDEX(Volcado_Dist!$A:$ZZ, MATCH($B17, Volcado_Dist!$A:$A, 0), MATCH(V$2, Volcado_Dist!$1:$1, 0)) / SUM(INDEX(Volcado_Dist!$A:$ZZ, 0, MATCH(V$2, Volcado_Dist!$1:$1, 0))), 0)</f>
        <v>2.553006291456944E-2</v>
      </c>
      <c r="W17" s="16">
        <f t="shared" si="1"/>
        <v>1.8511879703385525E-2</v>
      </c>
      <c r="X17" s="17">
        <f>IFERROR(SUM(_xlfn.XLOOKUP($B17, Volcado_Vend!$A:$A, Volcado_Vend!$C:$ZZ, 0)) / SUM(Volcado_Vend!$C:$ZZ), 0)</f>
        <v>9.7745968906764666E-3</v>
      </c>
      <c r="Y17" s="24">
        <f t="shared" si="0"/>
        <v>1.4143238297030996E-2</v>
      </c>
    </row>
    <row r="18" spans="2:25" x14ac:dyDescent="0.25">
      <c r="B18" s="15" t="s">
        <v>42</v>
      </c>
      <c r="C18" s="16">
        <f>IFERROR(INDEX(Volcado_Dist!$A:$ZZ, MATCH($B18, Volcado_Dist!$A:$A, 0), MATCH(C$2, Volcado_Dist!$1:$1, 0)) / SUM(INDEX(Volcado_Dist!$A:$ZZ, 0, MATCH(C$2, Volcado_Dist!$1:$1, 0))), 0)</f>
        <v>2.2054579562662054E-2</v>
      </c>
      <c r="D18" s="16">
        <f>IFERROR(INDEX(Volcado_Dist!$A:$ZZ, MATCH($B18, Volcado_Dist!$A:$A, 0), MATCH(D$2, Volcado_Dist!$1:$1, 0)) / SUM(INDEX(Volcado_Dist!$A:$ZZ, 0, MATCH(D$2, Volcado_Dist!$1:$1, 0))), 0)</f>
        <v>0</v>
      </c>
      <c r="E18" s="16">
        <f>IFERROR(INDEX(Volcado_Dist!$A:$ZZ, MATCH($B18, Volcado_Dist!$A:$A, 0), MATCH(E$2, Volcado_Dist!$1:$1, 0)) / SUM(INDEX(Volcado_Dist!$A:$ZZ, 0, MATCH(E$2, Volcado_Dist!$1:$1, 0))), 0)</f>
        <v>8.8681776087706533E-3</v>
      </c>
      <c r="F18" s="16">
        <f>IFERROR(INDEX(Volcado_Dist!$A:$ZZ, MATCH($B18, Volcado_Dist!$A:$A, 0), MATCH(F$2, Volcado_Dist!$1:$1, 0)) / SUM(INDEX(Volcado_Dist!$A:$ZZ, 0, MATCH(F$2, Volcado_Dist!$1:$1, 0))), 0)</f>
        <v>4.7605274221530339E-2</v>
      </c>
      <c r="G18" s="16">
        <f>IFERROR(INDEX(Volcado_Dist!$A:$ZZ, MATCH($B18, Volcado_Dist!$A:$A, 0), MATCH(G$2, Volcado_Dist!$1:$1, 0)) / SUM(INDEX(Volcado_Dist!$A:$ZZ, 0, MATCH(G$2, Volcado_Dist!$1:$1, 0))), 0)</f>
        <v>0</v>
      </c>
      <c r="H18" s="16">
        <f>IFERROR(INDEX(Volcado_Dist!$A:$ZZ, MATCH($B18, Volcado_Dist!$A:$A, 0), MATCH(H$2, Volcado_Dist!$1:$1, 0)) / SUM(INDEX(Volcado_Dist!$A:$ZZ, 0, MATCH(H$2, Volcado_Dist!$1:$1, 0))), 0)</f>
        <v>0</v>
      </c>
      <c r="I18" s="16">
        <f>IFERROR(INDEX(Volcado_Dist!$A:$ZZ, MATCH($B18, Volcado_Dist!$A:$A, 0), MATCH(I$2, Volcado_Dist!$1:$1, 0)) / SUM(INDEX(Volcado_Dist!$A:$ZZ, 0, MATCH(I$2, Volcado_Dist!$1:$1, 0))), 0)</f>
        <v>1.9769725300572277E-2</v>
      </c>
      <c r="J18" s="16">
        <f>IFERROR(INDEX(Volcado_Dist!$A:$ZZ, MATCH($B18, Volcado_Dist!$A:$A, 0), MATCH(J$2, Volcado_Dist!$1:$1, 0)) / SUM(INDEX(Volcado_Dist!$A:$ZZ, 0, MATCH(J$2, Volcado_Dist!$1:$1, 0))), 0)</f>
        <v>0</v>
      </c>
      <c r="K18" s="16">
        <f>IFERROR(INDEX(Volcado_Dist!$A:$ZZ, MATCH($B18, Volcado_Dist!$A:$A, 0), MATCH(K$2, Volcado_Dist!$1:$1, 0)) / SUM(INDEX(Volcado_Dist!$A:$ZZ, 0, MATCH(K$2, Volcado_Dist!$1:$1, 0))), 0)</f>
        <v>1.4669062752209321E-2</v>
      </c>
      <c r="L18" s="16">
        <f>IFERROR(INDEX(Volcado_Dist!$A:$ZZ, MATCH($B18, Volcado_Dist!$A:$A, 0), MATCH(L$2, Volcado_Dist!$1:$1, 0)) / SUM(INDEX(Volcado_Dist!$A:$ZZ, 0, MATCH(L$2, Volcado_Dist!$1:$1, 0))), 0)</f>
        <v>4.3284081056925716E-3</v>
      </c>
      <c r="M18" s="16">
        <f>IFERROR(INDEX(Volcado_Dist!$A:$ZZ, MATCH($B18, Volcado_Dist!$A:$A, 0), MATCH(M$2, Volcado_Dist!$1:$1, 0)) / SUM(INDEX(Volcado_Dist!$A:$ZZ, 0, MATCH(M$2, Volcado_Dist!$1:$1, 0))), 0)</f>
        <v>3.5340170937907207E-2</v>
      </c>
      <c r="N18" s="16">
        <f>IFERROR(INDEX(Volcado_Dist!$A:$ZZ, MATCH($B18, Volcado_Dist!$A:$A, 0), MATCH(N$2, Volcado_Dist!$1:$1, 0)) / SUM(INDEX(Volcado_Dist!$A:$ZZ, 0, MATCH(N$2, Volcado_Dist!$1:$1, 0))), 0)</f>
        <v>0</v>
      </c>
      <c r="O18" s="16">
        <f>IFERROR(INDEX(Volcado_Dist!$A:$ZZ, MATCH($B18, Volcado_Dist!$A:$A, 0), MATCH(O$2, Volcado_Dist!$1:$1, 0)) / SUM(INDEX(Volcado_Dist!$A:$ZZ, 0, MATCH(O$2, Volcado_Dist!$1:$1, 0))), 0)</f>
        <v>1.1118042187496747E-2</v>
      </c>
      <c r="P18" s="16">
        <f>IFERROR(INDEX(Volcado_Dist!$A:$ZZ, MATCH($B18, Volcado_Dist!$A:$A, 0), MATCH(P$2, Volcado_Dist!$1:$1, 0)) / SUM(INDEX(Volcado_Dist!$A:$ZZ, 0, MATCH(P$2, Volcado_Dist!$1:$1, 0))), 0)</f>
        <v>6.6792125002245045E-3</v>
      </c>
      <c r="Q18" s="16">
        <f>IFERROR(INDEX(Volcado_Dist!$A:$ZZ, MATCH($B18, Volcado_Dist!$A:$A, 0), MATCH(Q$2, Volcado_Dist!$1:$1, 0)) / SUM(INDEX(Volcado_Dist!$A:$ZZ, 0, MATCH(Q$2, Volcado_Dist!$1:$1, 0))), 0)</f>
        <v>3.2764019631599743E-2</v>
      </c>
      <c r="R18" s="16">
        <f>IFERROR(INDEX(Volcado_Dist!$A:$ZZ, MATCH($B18, Volcado_Dist!$A:$A, 0), MATCH(R$2, Volcado_Dist!$1:$1, 0)) / SUM(INDEX(Volcado_Dist!$A:$ZZ, 0, MATCH(R$2, Volcado_Dist!$1:$1, 0))), 0)</f>
        <v>-1.6816984263299327E-2</v>
      </c>
      <c r="S18" s="16">
        <f>IFERROR(INDEX(Volcado_Dist!$A:$ZZ, MATCH($B18, Volcado_Dist!$A:$A, 0), MATCH(S$2, Volcado_Dist!$1:$1, 0)) / SUM(INDEX(Volcado_Dist!$A:$ZZ, 0, MATCH(S$2, Volcado_Dist!$1:$1, 0))), 0)</f>
        <v>5.4446657545687248E-3</v>
      </c>
      <c r="T18" s="16">
        <f>IFERROR(INDEX(Volcado_Dist!$A:$ZZ, MATCH($B18, Volcado_Dist!$A:$A, 0), MATCH(T$2, Volcado_Dist!$1:$1, 0)) / SUM(INDEX(Volcado_Dist!$A:$ZZ, 0, MATCH(T$2, Volcado_Dist!$1:$1, 0))), 0)</f>
        <v>7.0817398123835884E-3</v>
      </c>
      <c r="U18" s="16">
        <f>IFERROR(INDEX(Volcado_Dist!$A:$ZZ, MATCH($B18, Volcado_Dist!$A:$A, 0), MATCH(U$2, Volcado_Dist!$1:$1, 0)) / SUM(INDEX(Volcado_Dist!$A:$ZZ, 0, MATCH(U$2, Volcado_Dist!$1:$1, 0))), 0)</f>
        <v>3.1388720459542593E-2</v>
      </c>
      <c r="V18" s="16">
        <f>IFERROR(INDEX(Volcado_Dist!$A:$ZZ, MATCH($B18, Volcado_Dist!$A:$A, 0), MATCH(V$2, Volcado_Dist!$1:$1, 0)) / SUM(INDEX(Volcado_Dist!$A:$ZZ, 0, MATCH(V$2, Volcado_Dist!$1:$1, 0))), 0)</f>
        <v>1.150360144424642E-2</v>
      </c>
      <c r="W18" s="16">
        <f t="shared" si="1"/>
        <v>1.2089920800805372E-2</v>
      </c>
      <c r="X18" s="17">
        <f>IFERROR(SUM(_xlfn.XLOOKUP($B18, Volcado_Vend!$A:$A, Volcado_Vend!$C:$ZZ, 0)) / SUM(Volcado_Vend!$C:$ZZ), 0)</f>
        <v>1.0745681024877224E-2</v>
      </c>
      <c r="Y18" s="24">
        <f t="shared" si="0"/>
        <v>1.1417800912841298E-2</v>
      </c>
    </row>
    <row r="19" spans="2:25" x14ac:dyDescent="0.25">
      <c r="B19" s="15" t="s">
        <v>43</v>
      </c>
      <c r="C19" s="16">
        <f>IFERROR(INDEX(Volcado_Dist!$A:$ZZ, MATCH($B19, Volcado_Dist!$A:$A, 0), MATCH(C$2, Volcado_Dist!$1:$1, 0)) / SUM(INDEX(Volcado_Dist!$A:$ZZ, 0, MATCH(C$2, Volcado_Dist!$1:$1, 0))), 0)</f>
        <v>0</v>
      </c>
      <c r="D19" s="16">
        <f>IFERROR(INDEX(Volcado_Dist!$A:$ZZ, MATCH($B19, Volcado_Dist!$A:$A, 0), MATCH(D$2, Volcado_Dist!$1:$1, 0)) / SUM(INDEX(Volcado_Dist!$A:$ZZ, 0, MATCH(D$2, Volcado_Dist!$1:$1, 0))), 0)</f>
        <v>0</v>
      </c>
      <c r="E19" s="16">
        <f>IFERROR(INDEX(Volcado_Dist!$A:$ZZ, MATCH($B19, Volcado_Dist!$A:$A, 0), MATCH(E$2, Volcado_Dist!$1:$1, 0)) / SUM(INDEX(Volcado_Dist!$A:$ZZ, 0, MATCH(E$2, Volcado_Dist!$1:$1, 0))), 0)</f>
        <v>0</v>
      </c>
      <c r="F19" s="16">
        <f>IFERROR(INDEX(Volcado_Dist!$A:$ZZ, MATCH($B19, Volcado_Dist!$A:$A, 0), MATCH(F$2, Volcado_Dist!$1:$1, 0)) / SUM(INDEX(Volcado_Dist!$A:$ZZ, 0, MATCH(F$2, Volcado_Dist!$1:$1, 0))), 0)</f>
        <v>3.0071464922187726E-4</v>
      </c>
      <c r="G19" s="16">
        <f>IFERROR(INDEX(Volcado_Dist!$A:$ZZ, MATCH($B19, Volcado_Dist!$A:$A, 0), MATCH(G$2, Volcado_Dist!$1:$1, 0)) / SUM(INDEX(Volcado_Dist!$A:$ZZ, 0, MATCH(G$2, Volcado_Dist!$1:$1, 0))), 0)</f>
        <v>0</v>
      </c>
      <c r="H19" s="16">
        <f>IFERROR(INDEX(Volcado_Dist!$A:$ZZ, MATCH($B19, Volcado_Dist!$A:$A, 0), MATCH(H$2, Volcado_Dist!$1:$1, 0)) / SUM(INDEX(Volcado_Dist!$A:$ZZ, 0, MATCH(H$2, Volcado_Dist!$1:$1, 0))), 0)</f>
        <v>0</v>
      </c>
      <c r="I19" s="16">
        <f>IFERROR(INDEX(Volcado_Dist!$A:$ZZ, MATCH($B19, Volcado_Dist!$A:$A, 0), MATCH(I$2, Volcado_Dist!$1:$1, 0)) / SUM(INDEX(Volcado_Dist!$A:$ZZ, 0, MATCH(I$2, Volcado_Dist!$1:$1, 0))), 0)</f>
        <v>9.6321455860708741E-3</v>
      </c>
      <c r="J19" s="16">
        <f>IFERROR(INDEX(Volcado_Dist!$A:$ZZ, MATCH($B19, Volcado_Dist!$A:$A, 0), MATCH(J$2, Volcado_Dist!$1:$1, 0)) / SUM(INDEX(Volcado_Dist!$A:$ZZ, 0, MATCH(J$2, Volcado_Dist!$1:$1, 0))), 0)</f>
        <v>0</v>
      </c>
      <c r="K19" s="16">
        <f>IFERROR(INDEX(Volcado_Dist!$A:$ZZ, MATCH($B19, Volcado_Dist!$A:$A, 0), MATCH(K$2, Volcado_Dist!$1:$1, 0)) / SUM(INDEX(Volcado_Dist!$A:$ZZ, 0, MATCH(K$2, Volcado_Dist!$1:$1, 0))), 0)</f>
        <v>3.1961573534710224E-5</v>
      </c>
      <c r="L19" s="16">
        <f>IFERROR(INDEX(Volcado_Dist!$A:$ZZ, MATCH($B19, Volcado_Dist!$A:$A, 0), MATCH(L$2, Volcado_Dist!$1:$1, 0)) / SUM(INDEX(Volcado_Dist!$A:$ZZ, 0, MATCH(L$2, Volcado_Dist!$1:$1, 0))), 0)</f>
        <v>0</v>
      </c>
      <c r="M19" s="16">
        <f>IFERROR(INDEX(Volcado_Dist!$A:$ZZ, MATCH($B19, Volcado_Dist!$A:$A, 0), MATCH(M$2, Volcado_Dist!$1:$1, 0)) / SUM(INDEX(Volcado_Dist!$A:$ZZ, 0, MATCH(M$2, Volcado_Dist!$1:$1, 0))), 0)</f>
        <v>0</v>
      </c>
      <c r="N19" s="16">
        <f>IFERROR(INDEX(Volcado_Dist!$A:$ZZ, MATCH($B19, Volcado_Dist!$A:$A, 0), MATCH(N$2, Volcado_Dist!$1:$1, 0)) / SUM(INDEX(Volcado_Dist!$A:$ZZ, 0, MATCH(N$2, Volcado_Dist!$1:$1, 0))), 0)</f>
        <v>0</v>
      </c>
      <c r="O19" s="16">
        <f>IFERROR(INDEX(Volcado_Dist!$A:$ZZ, MATCH($B19, Volcado_Dist!$A:$A, 0), MATCH(O$2, Volcado_Dist!$1:$1, 0)) / SUM(INDEX(Volcado_Dist!$A:$ZZ, 0, MATCH(O$2, Volcado_Dist!$1:$1, 0))), 0)</f>
        <v>0</v>
      </c>
      <c r="P19" s="16">
        <f>IFERROR(INDEX(Volcado_Dist!$A:$ZZ, MATCH($B19, Volcado_Dist!$A:$A, 0), MATCH(P$2, Volcado_Dist!$1:$1, 0)) / SUM(INDEX(Volcado_Dist!$A:$ZZ, 0, MATCH(P$2, Volcado_Dist!$1:$1, 0))), 0)</f>
        <v>0</v>
      </c>
      <c r="Q19" s="16">
        <f>IFERROR(INDEX(Volcado_Dist!$A:$ZZ, MATCH($B19, Volcado_Dist!$A:$A, 0), MATCH(Q$2, Volcado_Dist!$1:$1, 0)) / SUM(INDEX(Volcado_Dist!$A:$ZZ, 0, MATCH(Q$2, Volcado_Dist!$1:$1, 0))), 0)</f>
        <v>0</v>
      </c>
      <c r="R19" s="16">
        <f>IFERROR(INDEX(Volcado_Dist!$A:$ZZ, MATCH($B19, Volcado_Dist!$A:$A, 0), MATCH(R$2, Volcado_Dist!$1:$1, 0)) / SUM(INDEX(Volcado_Dist!$A:$ZZ, 0, MATCH(R$2, Volcado_Dist!$1:$1, 0))), 0)</f>
        <v>0</v>
      </c>
      <c r="S19" s="16">
        <f>IFERROR(INDEX(Volcado_Dist!$A:$ZZ, MATCH($B19, Volcado_Dist!$A:$A, 0), MATCH(S$2, Volcado_Dist!$1:$1, 0)) / SUM(INDEX(Volcado_Dist!$A:$ZZ, 0, MATCH(S$2, Volcado_Dist!$1:$1, 0))), 0)</f>
        <v>0</v>
      </c>
      <c r="T19" s="16">
        <f>IFERROR(INDEX(Volcado_Dist!$A:$ZZ, MATCH($B19, Volcado_Dist!$A:$A, 0), MATCH(T$2, Volcado_Dist!$1:$1, 0)) / SUM(INDEX(Volcado_Dist!$A:$ZZ, 0, MATCH(T$2, Volcado_Dist!$1:$1, 0))), 0)</f>
        <v>0</v>
      </c>
      <c r="U19" s="16">
        <f>IFERROR(INDEX(Volcado_Dist!$A:$ZZ, MATCH($B19, Volcado_Dist!$A:$A, 0), MATCH(U$2, Volcado_Dist!$1:$1, 0)) / SUM(INDEX(Volcado_Dist!$A:$ZZ, 0, MATCH(U$2, Volcado_Dist!$1:$1, 0))), 0)</f>
        <v>0</v>
      </c>
      <c r="V19" s="16">
        <f>IFERROR(INDEX(Volcado_Dist!$A:$ZZ, MATCH($B19, Volcado_Dist!$A:$A, 0), MATCH(V$2, Volcado_Dist!$1:$1, 0)) / SUM(INDEX(Volcado_Dist!$A:$ZZ, 0, MATCH(V$2, Volcado_Dist!$1:$1, 0))), 0)</f>
        <v>0</v>
      </c>
      <c r="W19" s="16">
        <f t="shared" si="1"/>
        <v>4.9824109044137299E-4</v>
      </c>
      <c r="X19" s="17">
        <f>IFERROR(SUM(_xlfn.XLOOKUP($B19, Volcado_Vend!$A:$A, Volcado_Vend!$C:$ZZ, 0)) / SUM(Volcado_Vend!$C:$ZZ), 0)</f>
        <v>8.6754567635592445E-4</v>
      </c>
      <c r="Y19" s="24">
        <f t="shared" si="0"/>
        <v>6.8289338339864872E-4</v>
      </c>
    </row>
    <row r="20" spans="2:25" x14ac:dyDescent="0.25">
      <c r="B20" s="15" t="s">
        <v>44</v>
      </c>
      <c r="C20" s="16">
        <f>IFERROR(INDEX(Volcado_Dist!$A:$ZZ, MATCH($B20, Volcado_Dist!$A:$A, 0), MATCH(C$2, Volcado_Dist!$1:$1, 0)) / SUM(INDEX(Volcado_Dist!$A:$ZZ, 0, MATCH(C$2, Volcado_Dist!$1:$1, 0))), 0)</f>
        <v>9.8804609154490852E-2</v>
      </c>
      <c r="D20" s="16">
        <f>IFERROR(INDEX(Volcado_Dist!$A:$ZZ, MATCH($B20, Volcado_Dist!$A:$A, 0), MATCH(D$2, Volcado_Dist!$1:$1, 0)) / SUM(INDEX(Volcado_Dist!$A:$ZZ, 0, MATCH(D$2, Volcado_Dist!$1:$1, 0))), 0)</f>
        <v>0</v>
      </c>
      <c r="E20" s="16">
        <f>IFERROR(INDEX(Volcado_Dist!$A:$ZZ, MATCH($B20, Volcado_Dist!$A:$A, 0), MATCH(E$2, Volcado_Dist!$1:$1, 0)) / SUM(INDEX(Volcado_Dist!$A:$ZZ, 0, MATCH(E$2, Volcado_Dist!$1:$1, 0))), 0)</f>
        <v>7.137771583487193E-2</v>
      </c>
      <c r="F20" s="16">
        <f>IFERROR(INDEX(Volcado_Dist!$A:$ZZ, MATCH($B20, Volcado_Dist!$A:$A, 0), MATCH(F$2, Volcado_Dist!$1:$1, 0)) / SUM(INDEX(Volcado_Dist!$A:$ZZ, 0, MATCH(F$2, Volcado_Dist!$1:$1, 0))), 0)</f>
        <v>4.4270277557417088E-2</v>
      </c>
      <c r="G20" s="16">
        <f>IFERROR(INDEX(Volcado_Dist!$A:$ZZ, MATCH($B20, Volcado_Dist!$A:$A, 0), MATCH(G$2, Volcado_Dist!$1:$1, 0)) / SUM(INDEX(Volcado_Dist!$A:$ZZ, 0, MATCH(G$2, Volcado_Dist!$1:$1, 0))), 0)</f>
        <v>9.7624722996737096E-4</v>
      </c>
      <c r="H20" s="16">
        <f>IFERROR(INDEX(Volcado_Dist!$A:$ZZ, MATCH($B20, Volcado_Dist!$A:$A, 0), MATCH(H$2, Volcado_Dist!$1:$1, 0)) / SUM(INDEX(Volcado_Dist!$A:$ZZ, 0, MATCH(H$2, Volcado_Dist!$1:$1, 0))), 0)</f>
        <v>0.35707042303649084</v>
      </c>
      <c r="I20" s="16">
        <f>IFERROR(INDEX(Volcado_Dist!$A:$ZZ, MATCH($B20, Volcado_Dist!$A:$A, 0), MATCH(I$2, Volcado_Dist!$1:$1, 0)) / SUM(INDEX(Volcado_Dist!$A:$ZZ, 0, MATCH(I$2, Volcado_Dist!$1:$1, 0))), 0)</f>
        <v>1.2767118225442253E-2</v>
      </c>
      <c r="J20" s="16">
        <f>IFERROR(INDEX(Volcado_Dist!$A:$ZZ, MATCH($B20, Volcado_Dist!$A:$A, 0), MATCH(J$2, Volcado_Dist!$1:$1, 0)) / SUM(INDEX(Volcado_Dist!$A:$ZZ, 0, MATCH(J$2, Volcado_Dist!$1:$1, 0))), 0)</f>
        <v>0.29346925708390004</v>
      </c>
      <c r="K20" s="16">
        <f>IFERROR(INDEX(Volcado_Dist!$A:$ZZ, MATCH($B20, Volcado_Dist!$A:$A, 0), MATCH(K$2, Volcado_Dist!$1:$1, 0)) / SUM(INDEX(Volcado_Dist!$A:$ZZ, 0, MATCH(K$2, Volcado_Dist!$1:$1, 0))), 0)</f>
        <v>4.4513278736268806E-2</v>
      </c>
      <c r="L20" s="16">
        <f>IFERROR(INDEX(Volcado_Dist!$A:$ZZ, MATCH($B20, Volcado_Dist!$A:$A, 0), MATCH(L$2, Volcado_Dist!$1:$1, 0)) / SUM(INDEX(Volcado_Dist!$A:$ZZ, 0, MATCH(L$2, Volcado_Dist!$1:$1, 0))), 0)</f>
        <v>4.1326541099443323E-2</v>
      </c>
      <c r="M20" s="16">
        <f>IFERROR(INDEX(Volcado_Dist!$A:$ZZ, MATCH($B20, Volcado_Dist!$A:$A, 0), MATCH(M$2, Volcado_Dist!$1:$1, 0)) / SUM(INDEX(Volcado_Dist!$A:$ZZ, 0, MATCH(M$2, Volcado_Dist!$1:$1, 0))), 0)</f>
        <v>0.1917205058393974</v>
      </c>
      <c r="N20" s="16">
        <f>IFERROR(INDEX(Volcado_Dist!$A:$ZZ, MATCH($B20, Volcado_Dist!$A:$A, 0), MATCH(N$2, Volcado_Dist!$1:$1, 0)) / SUM(INDEX(Volcado_Dist!$A:$ZZ, 0, MATCH(N$2, Volcado_Dist!$1:$1, 0))), 0)</f>
        <v>0</v>
      </c>
      <c r="O20" s="16">
        <f>IFERROR(INDEX(Volcado_Dist!$A:$ZZ, MATCH($B20, Volcado_Dist!$A:$A, 0), MATCH(O$2, Volcado_Dist!$1:$1, 0)) / SUM(INDEX(Volcado_Dist!$A:$ZZ, 0, MATCH(O$2, Volcado_Dist!$1:$1, 0))), 0)</f>
        <v>2.1149647143740634E-3</v>
      </c>
      <c r="P20" s="16">
        <f>IFERROR(INDEX(Volcado_Dist!$A:$ZZ, MATCH($B20, Volcado_Dist!$A:$A, 0), MATCH(P$2, Volcado_Dist!$1:$1, 0)) / SUM(INDEX(Volcado_Dist!$A:$ZZ, 0, MATCH(P$2, Volcado_Dist!$1:$1, 0))), 0)</f>
        <v>0.20129003492387806</v>
      </c>
      <c r="Q20" s="16">
        <f>IFERROR(INDEX(Volcado_Dist!$A:$ZZ, MATCH($B20, Volcado_Dist!$A:$A, 0), MATCH(Q$2, Volcado_Dist!$1:$1, 0)) / SUM(INDEX(Volcado_Dist!$A:$ZZ, 0, MATCH(Q$2, Volcado_Dist!$1:$1, 0))), 0)</f>
        <v>8.450030666757544E-3</v>
      </c>
      <c r="R20" s="16">
        <f>IFERROR(INDEX(Volcado_Dist!$A:$ZZ, MATCH($B20, Volcado_Dist!$A:$A, 0), MATCH(R$2, Volcado_Dist!$1:$1, 0)) / SUM(INDEX(Volcado_Dist!$A:$ZZ, 0, MATCH(R$2, Volcado_Dist!$1:$1, 0))), 0)</f>
        <v>3.4576778982934799E-2</v>
      </c>
      <c r="S20" s="16">
        <f>IFERROR(INDEX(Volcado_Dist!$A:$ZZ, MATCH($B20, Volcado_Dist!$A:$A, 0), MATCH(S$2, Volcado_Dist!$1:$1, 0)) / SUM(INDEX(Volcado_Dist!$A:$ZZ, 0, MATCH(S$2, Volcado_Dist!$1:$1, 0))), 0)</f>
        <v>3.617740273939752E-2</v>
      </c>
      <c r="T20" s="16">
        <f>IFERROR(INDEX(Volcado_Dist!$A:$ZZ, MATCH($B20, Volcado_Dist!$A:$A, 0), MATCH(T$2, Volcado_Dist!$1:$1, 0)) / SUM(INDEX(Volcado_Dist!$A:$ZZ, 0, MATCH(T$2, Volcado_Dist!$1:$1, 0))), 0)</f>
        <v>8.5048503719790669E-3</v>
      </c>
      <c r="U20" s="16">
        <f>IFERROR(INDEX(Volcado_Dist!$A:$ZZ, MATCH($B20, Volcado_Dist!$A:$A, 0), MATCH(U$2, Volcado_Dist!$1:$1, 0)) / SUM(INDEX(Volcado_Dist!$A:$ZZ, 0, MATCH(U$2, Volcado_Dist!$1:$1, 0))), 0)</f>
        <v>0</v>
      </c>
      <c r="V20" s="16">
        <f>IFERROR(INDEX(Volcado_Dist!$A:$ZZ, MATCH($B20, Volcado_Dist!$A:$A, 0), MATCH(V$2, Volcado_Dist!$1:$1, 0)) / SUM(INDEX(Volcado_Dist!$A:$ZZ, 0, MATCH(V$2, Volcado_Dist!$1:$1, 0))), 0)</f>
        <v>3.579326693729392E-2</v>
      </c>
      <c r="W20" s="16">
        <f t="shared" si="1"/>
        <v>7.4160165156715252E-2</v>
      </c>
      <c r="X20" s="17">
        <f>IFERROR(SUM(_xlfn.XLOOKUP($B20, Volcado_Vend!$A:$A, Volcado_Vend!$C:$ZZ, 0)) / SUM(Volcado_Vend!$C:$ZZ), 0)</f>
        <v>1.0067014964658132E-3</v>
      </c>
      <c r="Y20" s="24">
        <f t="shared" si="0"/>
        <v>3.7583433326590532E-2</v>
      </c>
    </row>
    <row r="21" spans="2:25" x14ac:dyDescent="0.25">
      <c r="B21" s="15" t="s">
        <v>45</v>
      </c>
      <c r="C21" s="16">
        <f>IFERROR(INDEX(Volcado_Dist!$A:$ZZ, MATCH($B21, Volcado_Dist!$A:$A, 0), MATCH(C$2, Volcado_Dist!$1:$1, 0)) / SUM(INDEX(Volcado_Dist!$A:$ZZ, 0, MATCH(C$2, Volcado_Dist!$1:$1, 0))), 0)</f>
        <v>1.3370273316718877E-2</v>
      </c>
      <c r="D21" s="16">
        <f>IFERROR(INDEX(Volcado_Dist!$A:$ZZ, MATCH($B21, Volcado_Dist!$A:$A, 0), MATCH(D$2, Volcado_Dist!$1:$1, 0)) / SUM(INDEX(Volcado_Dist!$A:$ZZ, 0, MATCH(D$2, Volcado_Dist!$1:$1, 0))), 0)</f>
        <v>0</v>
      </c>
      <c r="E21" s="16">
        <f>IFERROR(INDEX(Volcado_Dist!$A:$ZZ, MATCH($B21, Volcado_Dist!$A:$A, 0), MATCH(E$2, Volcado_Dist!$1:$1, 0)) / SUM(INDEX(Volcado_Dist!$A:$ZZ, 0, MATCH(E$2, Volcado_Dist!$1:$1, 0))), 0)</f>
        <v>1.4641282957035613E-3</v>
      </c>
      <c r="F21" s="16">
        <f>IFERROR(INDEX(Volcado_Dist!$A:$ZZ, MATCH($B21, Volcado_Dist!$A:$A, 0), MATCH(F$2, Volcado_Dist!$1:$1, 0)) / SUM(INDEX(Volcado_Dist!$A:$ZZ, 0, MATCH(F$2, Volcado_Dist!$1:$1, 0))), 0)</f>
        <v>1.9747213399896869E-2</v>
      </c>
      <c r="G21" s="16">
        <f>IFERROR(INDEX(Volcado_Dist!$A:$ZZ, MATCH($B21, Volcado_Dist!$A:$A, 0), MATCH(G$2, Volcado_Dist!$1:$1, 0)) / SUM(INDEX(Volcado_Dist!$A:$ZZ, 0, MATCH(G$2, Volcado_Dist!$1:$1, 0))), 0)</f>
        <v>0</v>
      </c>
      <c r="H21" s="16">
        <f>IFERROR(INDEX(Volcado_Dist!$A:$ZZ, MATCH($B21, Volcado_Dist!$A:$A, 0), MATCH(H$2, Volcado_Dist!$1:$1, 0)) / SUM(INDEX(Volcado_Dist!$A:$ZZ, 0, MATCH(H$2, Volcado_Dist!$1:$1, 0))), 0)</f>
        <v>0</v>
      </c>
      <c r="I21" s="16">
        <f>IFERROR(INDEX(Volcado_Dist!$A:$ZZ, MATCH($B21, Volcado_Dist!$A:$A, 0), MATCH(I$2, Volcado_Dist!$1:$1, 0)) / SUM(INDEX(Volcado_Dist!$A:$ZZ, 0, MATCH(I$2, Volcado_Dist!$1:$1, 0))), 0)</f>
        <v>6.7263336911991545E-3</v>
      </c>
      <c r="J21" s="16">
        <f>IFERROR(INDEX(Volcado_Dist!$A:$ZZ, MATCH($B21, Volcado_Dist!$A:$A, 0), MATCH(J$2, Volcado_Dist!$1:$1, 0)) / SUM(INDEX(Volcado_Dist!$A:$ZZ, 0, MATCH(J$2, Volcado_Dist!$1:$1, 0))), 0)</f>
        <v>0</v>
      </c>
      <c r="K21" s="16">
        <f>IFERROR(INDEX(Volcado_Dist!$A:$ZZ, MATCH($B21, Volcado_Dist!$A:$A, 0), MATCH(K$2, Volcado_Dist!$1:$1, 0)) / SUM(INDEX(Volcado_Dist!$A:$ZZ, 0, MATCH(K$2, Volcado_Dist!$1:$1, 0))), 0)</f>
        <v>1.0144712399826799E-2</v>
      </c>
      <c r="L21" s="16">
        <f>IFERROR(INDEX(Volcado_Dist!$A:$ZZ, MATCH($B21, Volcado_Dist!$A:$A, 0), MATCH(L$2, Volcado_Dist!$1:$1, 0)) / SUM(INDEX(Volcado_Dist!$A:$ZZ, 0, MATCH(L$2, Volcado_Dist!$1:$1, 0))), 0)</f>
        <v>9.5924039140424851E-3</v>
      </c>
      <c r="M21" s="16">
        <f>IFERROR(INDEX(Volcado_Dist!$A:$ZZ, MATCH($B21, Volcado_Dist!$A:$A, 0), MATCH(M$2, Volcado_Dist!$1:$1, 0)) / SUM(INDEX(Volcado_Dist!$A:$ZZ, 0, MATCH(M$2, Volcado_Dist!$1:$1, 0))), 0)</f>
        <v>3.1398786961810525E-2</v>
      </c>
      <c r="N21" s="16">
        <f>IFERROR(INDEX(Volcado_Dist!$A:$ZZ, MATCH($B21, Volcado_Dist!$A:$A, 0), MATCH(N$2, Volcado_Dist!$1:$1, 0)) / SUM(INDEX(Volcado_Dist!$A:$ZZ, 0, MATCH(N$2, Volcado_Dist!$1:$1, 0))), 0)</f>
        <v>0</v>
      </c>
      <c r="O21" s="16">
        <f>IFERROR(INDEX(Volcado_Dist!$A:$ZZ, MATCH($B21, Volcado_Dist!$A:$A, 0), MATCH(O$2, Volcado_Dist!$1:$1, 0)) / SUM(INDEX(Volcado_Dist!$A:$ZZ, 0, MATCH(O$2, Volcado_Dist!$1:$1, 0))), 0)</f>
        <v>0</v>
      </c>
      <c r="P21" s="16">
        <f>IFERROR(INDEX(Volcado_Dist!$A:$ZZ, MATCH($B21, Volcado_Dist!$A:$A, 0), MATCH(P$2, Volcado_Dist!$1:$1, 0)) / SUM(INDEX(Volcado_Dist!$A:$ZZ, 0, MATCH(P$2, Volcado_Dist!$1:$1, 0))), 0)</f>
        <v>3.9063182370466746E-3</v>
      </c>
      <c r="Q21" s="16">
        <f>IFERROR(INDEX(Volcado_Dist!$A:$ZZ, MATCH($B21, Volcado_Dist!$A:$A, 0), MATCH(Q$2, Volcado_Dist!$1:$1, 0)) / SUM(INDEX(Volcado_Dist!$A:$ZZ, 0, MATCH(Q$2, Volcado_Dist!$1:$1, 0))), 0)</f>
        <v>1.7249797215959277E-3</v>
      </c>
      <c r="R21" s="16">
        <f>IFERROR(INDEX(Volcado_Dist!$A:$ZZ, MATCH($B21, Volcado_Dist!$A:$A, 0), MATCH(R$2, Volcado_Dist!$1:$1, 0)) / SUM(INDEX(Volcado_Dist!$A:$ZZ, 0, MATCH(R$2, Volcado_Dist!$1:$1, 0))), 0)</f>
        <v>0</v>
      </c>
      <c r="S21" s="16">
        <f>IFERROR(INDEX(Volcado_Dist!$A:$ZZ, MATCH($B21, Volcado_Dist!$A:$A, 0), MATCH(S$2, Volcado_Dist!$1:$1, 0)) / SUM(INDEX(Volcado_Dist!$A:$ZZ, 0, MATCH(S$2, Volcado_Dist!$1:$1, 0))), 0)</f>
        <v>4.2415695900364326E-3</v>
      </c>
      <c r="T21" s="16">
        <f>IFERROR(INDEX(Volcado_Dist!$A:$ZZ, MATCH($B21, Volcado_Dist!$A:$A, 0), MATCH(T$2, Volcado_Dist!$1:$1, 0)) / SUM(INDEX(Volcado_Dist!$A:$ZZ, 0, MATCH(T$2, Volcado_Dist!$1:$1, 0))), 0)</f>
        <v>0</v>
      </c>
      <c r="U21" s="16">
        <f>IFERROR(INDEX(Volcado_Dist!$A:$ZZ, MATCH($B21, Volcado_Dist!$A:$A, 0), MATCH(U$2, Volcado_Dist!$1:$1, 0)) / SUM(INDEX(Volcado_Dist!$A:$ZZ, 0, MATCH(U$2, Volcado_Dist!$1:$1, 0))), 0)</f>
        <v>2.2884130917296932E-2</v>
      </c>
      <c r="V21" s="16">
        <f>IFERROR(INDEX(Volcado_Dist!$A:$ZZ, MATCH($B21, Volcado_Dist!$A:$A, 0), MATCH(V$2, Volcado_Dist!$1:$1, 0)) / SUM(INDEX(Volcado_Dist!$A:$ZZ, 0, MATCH(V$2, Volcado_Dist!$1:$1, 0))), 0)</f>
        <v>1.6404765658145231E-2</v>
      </c>
      <c r="W21" s="16">
        <f t="shared" si="1"/>
        <v>7.0802808051659725E-3</v>
      </c>
      <c r="X21" s="17">
        <f>IFERROR(SUM(_xlfn.XLOOKUP($B21, Volcado_Vend!$A:$A, Volcado_Vend!$C:$ZZ, 0)) / SUM(Volcado_Vend!$C:$ZZ), 0)</f>
        <v>4.5205311675292252E-3</v>
      </c>
      <c r="Y21" s="24">
        <f t="shared" si="0"/>
        <v>5.8004059863475989E-3</v>
      </c>
    </row>
    <row r="22" spans="2:25" x14ac:dyDescent="0.25">
      <c r="B22" s="15" t="s">
        <v>46</v>
      </c>
      <c r="C22" s="16">
        <f>IFERROR(INDEX(Volcado_Dist!$A:$ZZ, MATCH($B22, Volcado_Dist!$A:$A, 0), MATCH(C$2, Volcado_Dist!$1:$1, 0)) / SUM(INDEX(Volcado_Dist!$A:$ZZ, 0, MATCH(C$2, Volcado_Dist!$1:$1, 0))), 0)</f>
        <v>8.5026651735460015E-4</v>
      </c>
      <c r="D22" s="16">
        <f>IFERROR(INDEX(Volcado_Dist!$A:$ZZ, MATCH($B22, Volcado_Dist!$A:$A, 0), MATCH(D$2, Volcado_Dist!$1:$1, 0)) / SUM(INDEX(Volcado_Dist!$A:$ZZ, 0, MATCH(D$2, Volcado_Dist!$1:$1, 0))), 0)</f>
        <v>0</v>
      </c>
      <c r="E22" s="16">
        <f>IFERROR(INDEX(Volcado_Dist!$A:$ZZ, MATCH($B22, Volcado_Dist!$A:$A, 0), MATCH(E$2, Volcado_Dist!$1:$1, 0)) / SUM(INDEX(Volcado_Dist!$A:$ZZ, 0, MATCH(E$2, Volcado_Dist!$1:$1, 0))), 0)</f>
        <v>2.3240131677834311E-5</v>
      </c>
      <c r="F22" s="16">
        <f>IFERROR(INDEX(Volcado_Dist!$A:$ZZ, MATCH($B22, Volcado_Dist!$A:$A, 0), MATCH(F$2, Volcado_Dist!$1:$1, 0)) / SUM(INDEX(Volcado_Dist!$A:$ZZ, 0, MATCH(F$2, Volcado_Dist!$1:$1, 0))), 0)</f>
        <v>-3.09447524136149E-5</v>
      </c>
      <c r="G22" s="16">
        <f>IFERROR(INDEX(Volcado_Dist!$A:$ZZ, MATCH($B22, Volcado_Dist!$A:$A, 0), MATCH(G$2, Volcado_Dist!$1:$1, 0)) / SUM(INDEX(Volcado_Dist!$A:$ZZ, 0, MATCH(G$2, Volcado_Dist!$1:$1, 0))), 0)</f>
        <v>0</v>
      </c>
      <c r="H22" s="16">
        <f>IFERROR(INDEX(Volcado_Dist!$A:$ZZ, MATCH($B22, Volcado_Dist!$A:$A, 0), MATCH(H$2, Volcado_Dist!$1:$1, 0)) / SUM(INDEX(Volcado_Dist!$A:$ZZ, 0, MATCH(H$2, Volcado_Dist!$1:$1, 0))), 0)</f>
        <v>0</v>
      </c>
      <c r="I22" s="16">
        <f>IFERROR(INDEX(Volcado_Dist!$A:$ZZ, MATCH($B22, Volcado_Dist!$A:$A, 0), MATCH(I$2, Volcado_Dist!$1:$1, 0)) / SUM(INDEX(Volcado_Dist!$A:$ZZ, 0, MATCH(I$2, Volcado_Dist!$1:$1, 0))), 0)</f>
        <v>7.686640806906812E-4</v>
      </c>
      <c r="J22" s="16">
        <f>IFERROR(INDEX(Volcado_Dist!$A:$ZZ, MATCH($B22, Volcado_Dist!$A:$A, 0), MATCH(J$2, Volcado_Dist!$1:$1, 0)) / SUM(INDEX(Volcado_Dist!$A:$ZZ, 0, MATCH(J$2, Volcado_Dist!$1:$1, 0))), 0)</f>
        <v>0</v>
      </c>
      <c r="K22" s="16">
        <f>IFERROR(INDEX(Volcado_Dist!$A:$ZZ, MATCH($B22, Volcado_Dist!$A:$A, 0), MATCH(K$2, Volcado_Dist!$1:$1, 0)) / SUM(INDEX(Volcado_Dist!$A:$ZZ, 0, MATCH(K$2, Volcado_Dist!$1:$1, 0))), 0)</f>
        <v>1.8616103251888473E-3</v>
      </c>
      <c r="L22" s="16">
        <f>IFERROR(INDEX(Volcado_Dist!$A:$ZZ, MATCH($B22, Volcado_Dist!$A:$A, 0), MATCH(L$2, Volcado_Dist!$1:$1, 0)) / SUM(INDEX(Volcado_Dist!$A:$ZZ, 0, MATCH(L$2, Volcado_Dist!$1:$1, 0))), 0)</f>
        <v>4.9782631838894546E-4</v>
      </c>
      <c r="M22" s="16">
        <f>IFERROR(INDEX(Volcado_Dist!$A:$ZZ, MATCH($B22, Volcado_Dist!$A:$A, 0), MATCH(M$2, Volcado_Dist!$1:$1, 0)) / SUM(INDEX(Volcado_Dist!$A:$ZZ, 0, MATCH(M$2, Volcado_Dist!$1:$1, 0))), 0)</f>
        <v>-8.5675582549761707E-5</v>
      </c>
      <c r="N22" s="16">
        <f>IFERROR(INDEX(Volcado_Dist!$A:$ZZ, MATCH($B22, Volcado_Dist!$A:$A, 0), MATCH(N$2, Volcado_Dist!$1:$1, 0)) / SUM(INDEX(Volcado_Dist!$A:$ZZ, 0, MATCH(N$2, Volcado_Dist!$1:$1, 0))), 0)</f>
        <v>0</v>
      </c>
      <c r="O22" s="16">
        <f>IFERROR(INDEX(Volcado_Dist!$A:$ZZ, MATCH($B22, Volcado_Dist!$A:$A, 0), MATCH(O$2, Volcado_Dist!$1:$1, 0)) / SUM(INDEX(Volcado_Dist!$A:$ZZ, 0, MATCH(O$2, Volcado_Dist!$1:$1, 0))), 0)</f>
        <v>0</v>
      </c>
      <c r="P22" s="16">
        <f>IFERROR(INDEX(Volcado_Dist!$A:$ZZ, MATCH($B22, Volcado_Dist!$A:$A, 0), MATCH(P$2, Volcado_Dist!$1:$1, 0)) / SUM(INDEX(Volcado_Dist!$A:$ZZ, 0, MATCH(P$2, Volcado_Dist!$1:$1, 0))), 0)</f>
        <v>1.1158784562492296E-3</v>
      </c>
      <c r="Q22" s="16">
        <f>IFERROR(INDEX(Volcado_Dist!$A:$ZZ, MATCH($B22, Volcado_Dist!$A:$A, 0), MATCH(Q$2, Volcado_Dist!$1:$1, 0)) / SUM(INDEX(Volcado_Dist!$A:$ZZ, 0, MATCH(Q$2, Volcado_Dist!$1:$1, 0))), 0)</f>
        <v>-9.8685590390220354E-4</v>
      </c>
      <c r="R22" s="16">
        <f>IFERROR(INDEX(Volcado_Dist!$A:$ZZ, MATCH($B22, Volcado_Dist!$A:$A, 0), MATCH(R$2, Volcado_Dist!$1:$1, 0)) / SUM(INDEX(Volcado_Dist!$A:$ZZ, 0, MATCH(R$2, Volcado_Dist!$1:$1, 0))), 0)</f>
        <v>0</v>
      </c>
      <c r="S22" s="16">
        <f>IFERROR(INDEX(Volcado_Dist!$A:$ZZ, MATCH($B22, Volcado_Dist!$A:$A, 0), MATCH(S$2, Volcado_Dist!$1:$1, 0)) / SUM(INDEX(Volcado_Dist!$A:$ZZ, 0, MATCH(S$2, Volcado_Dist!$1:$1, 0))), 0)</f>
        <v>1.2675403584517515E-3</v>
      </c>
      <c r="T22" s="16">
        <f>IFERROR(INDEX(Volcado_Dist!$A:$ZZ, MATCH($B22, Volcado_Dist!$A:$A, 0), MATCH(T$2, Volcado_Dist!$1:$1, 0)) / SUM(INDEX(Volcado_Dist!$A:$ZZ, 0, MATCH(T$2, Volcado_Dist!$1:$1, 0))), 0)</f>
        <v>9.76560131913437E-4</v>
      </c>
      <c r="U22" s="16">
        <f>IFERROR(INDEX(Volcado_Dist!$A:$ZZ, MATCH($B22, Volcado_Dist!$A:$A, 0), MATCH(U$2, Volcado_Dist!$1:$1, 0)) / SUM(INDEX(Volcado_Dist!$A:$ZZ, 0, MATCH(U$2, Volcado_Dist!$1:$1, 0))), 0)</f>
        <v>0</v>
      </c>
      <c r="V22" s="16">
        <f>IFERROR(INDEX(Volcado_Dist!$A:$ZZ, MATCH($B22, Volcado_Dist!$A:$A, 0), MATCH(V$2, Volcado_Dist!$1:$1, 0)) / SUM(INDEX(Volcado_Dist!$A:$ZZ, 0, MATCH(V$2, Volcado_Dist!$1:$1, 0))), 0)</f>
        <v>1.3528766489265271E-3</v>
      </c>
      <c r="W22" s="16">
        <f t="shared" si="1"/>
        <v>3.8054933649881372E-4</v>
      </c>
      <c r="X22" s="17">
        <f>IFERROR(SUM(_xlfn.XLOOKUP($B22, Volcado_Vend!$A:$A, Volcado_Vend!$C:$ZZ, 0)) / SUM(Volcado_Vend!$C:$ZZ), 0)</f>
        <v>2.0423626716545551E-3</v>
      </c>
      <c r="Y22" s="24">
        <f t="shared" si="0"/>
        <v>1.2114560040766844E-3</v>
      </c>
    </row>
    <row r="23" spans="2:25" x14ac:dyDescent="0.25">
      <c r="B23" s="15" t="s">
        <v>47</v>
      </c>
      <c r="C23" s="16">
        <f>IFERROR(INDEX(Volcado_Dist!$A:$ZZ, MATCH($B23, Volcado_Dist!$A:$A, 0), MATCH(C$2, Volcado_Dist!$1:$1, 0)) / SUM(INDEX(Volcado_Dist!$A:$ZZ, 0, MATCH(C$2, Volcado_Dist!$1:$1, 0))), 0)</f>
        <v>0</v>
      </c>
      <c r="D23" s="16">
        <f>IFERROR(INDEX(Volcado_Dist!$A:$ZZ, MATCH($B23, Volcado_Dist!$A:$A, 0), MATCH(D$2, Volcado_Dist!$1:$1, 0)) / SUM(INDEX(Volcado_Dist!$A:$ZZ, 0, MATCH(D$2, Volcado_Dist!$1:$1, 0))), 0)</f>
        <v>0</v>
      </c>
      <c r="E23" s="16">
        <f>IFERROR(INDEX(Volcado_Dist!$A:$ZZ, MATCH($B23, Volcado_Dist!$A:$A, 0), MATCH(E$2, Volcado_Dist!$1:$1, 0)) / SUM(INDEX(Volcado_Dist!$A:$ZZ, 0, MATCH(E$2, Volcado_Dist!$1:$1, 0))), 0)</f>
        <v>-2.2698337197001367E-4</v>
      </c>
      <c r="F23" s="16">
        <f>IFERROR(INDEX(Volcado_Dist!$A:$ZZ, MATCH($B23, Volcado_Dist!$A:$A, 0), MATCH(F$2, Volcado_Dist!$1:$1, 0)) / SUM(INDEX(Volcado_Dist!$A:$ZZ, 0, MATCH(F$2, Volcado_Dist!$1:$1, 0))), 0)</f>
        <v>0</v>
      </c>
      <c r="G23" s="16">
        <f>IFERROR(INDEX(Volcado_Dist!$A:$ZZ, MATCH($B23, Volcado_Dist!$A:$A, 0), MATCH(G$2, Volcado_Dist!$1:$1, 0)) / SUM(INDEX(Volcado_Dist!$A:$ZZ, 0, MATCH(G$2, Volcado_Dist!$1:$1, 0))), 0)</f>
        <v>0</v>
      </c>
      <c r="H23" s="16">
        <f>IFERROR(INDEX(Volcado_Dist!$A:$ZZ, MATCH($B23, Volcado_Dist!$A:$A, 0), MATCH(H$2, Volcado_Dist!$1:$1, 0)) / SUM(INDEX(Volcado_Dist!$A:$ZZ, 0, MATCH(H$2, Volcado_Dist!$1:$1, 0))), 0)</f>
        <v>8.0989026067766895E-3</v>
      </c>
      <c r="I23" s="16">
        <f>IFERROR(INDEX(Volcado_Dist!$A:$ZZ, MATCH($B23, Volcado_Dist!$A:$A, 0), MATCH(I$2, Volcado_Dist!$1:$1, 0)) / SUM(INDEX(Volcado_Dist!$A:$ZZ, 0, MATCH(I$2, Volcado_Dist!$1:$1, 0))), 0)</f>
        <v>0</v>
      </c>
      <c r="J23" s="16">
        <f>IFERROR(INDEX(Volcado_Dist!$A:$ZZ, MATCH($B23, Volcado_Dist!$A:$A, 0), MATCH(J$2, Volcado_Dist!$1:$1, 0)) / SUM(INDEX(Volcado_Dist!$A:$ZZ, 0, MATCH(J$2, Volcado_Dist!$1:$1, 0))), 0)</f>
        <v>0</v>
      </c>
      <c r="K23" s="16">
        <f>IFERROR(INDEX(Volcado_Dist!$A:$ZZ, MATCH($B23, Volcado_Dist!$A:$A, 0), MATCH(K$2, Volcado_Dist!$1:$1, 0)) / SUM(INDEX(Volcado_Dist!$A:$ZZ, 0, MATCH(K$2, Volcado_Dist!$1:$1, 0))), 0)</f>
        <v>5.4782621304758946E-6</v>
      </c>
      <c r="L23" s="16">
        <f>IFERROR(INDEX(Volcado_Dist!$A:$ZZ, MATCH($B23, Volcado_Dist!$A:$A, 0), MATCH(L$2, Volcado_Dist!$1:$1, 0)) / SUM(INDEX(Volcado_Dist!$A:$ZZ, 0, MATCH(L$2, Volcado_Dist!$1:$1, 0))), 0)</f>
        <v>0</v>
      </c>
      <c r="M23" s="16">
        <f>IFERROR(INDEX(Volcado_Dist!$A:$ZZ, MATCH($B23, Volcado_Dist!$A:$A, 0), MATCH(M$2, Volcado_Dist!$1:$1, 0)) / SUM(INDEX(Volcado_Dist!$A:$ZZ, 0, MATCH(M$2, Volcado_Dist!$1:$1, 0))), 0)</f>
        <v>1.5852610857060203E-3</v>
      </c>
      <c r="N23" s="16">
        <f>IFERROR(INDEX(Volcado_Dist!$A:$ZZ, MATCH($B23, Volcado_Dist!$A:$A, 0), MATCH(N$2, Volcado_Dist!$1:$1, 0)) / SUM(INDEX(Volcado_Dist!$A:$ZZ, 0, MATCH(N$2, Volcado_Dist!$1:$1, 0))), 0)</f>
        <v>0</v>
      </c>
      <c r="O23" s="16">
        <f>IFERROR(INDEX(Volcado_Dist!$A:$ZZ, MATCH($B23, Volcado_Dist!$A:$A, 0), MATCH(O$2, Volcado_Dist!$1:$1, 0)) / SUM(INDEX(Volcado_Dist!$A:$ZZ, 0, MATCH(O$2, Volcado_Dist!$1:$1, 0))), 0)</f>
        <v>1.7114848388044878E-3</v>
      </c>
      <c r="P23" s="16">
        <f>IFERROR(INDEX(Volcado_Dist!$A:$ZZ, MATCH($B23, Volcado_Dist!$A:$A, 0), MATCH(P$2, Volcado_Dist!$1:$1, 0)) / SUM(INDEX(Volcado_Dist!$A:$ZZ, 0, MATCH(P$2, Volcado_Dist!$1:$1, 0))), 0)</f>
        <v>0</v>
      </c>
      <c r="Q23" s="16">
        <f>IFERROR(INDEX(Volcado_Dist!$A:$ZZ, MATCH($B23, Volcado_Dist!$A:$A, 0), MATCH(Q$2, Volcado_Dist!$1:$1, 0)) / SUM(INDEX(Volcado_Dist!$A:$ZZ, 0, MATCH(Q$2, Volcado_Dist!$1:$1, 0))), 0)</f>
        <v>0</v>
      </c>
      <c r="R23" s="16">
        <f>IFERROR(INDEX(Volcado_Dist!$A:$ZZ, MATCH($B23, Volcado_Dist!$A:$A, 0), MATCH(R$2, Volcado_Dist!$1:$1, 0)) / SUM(INDEX(Volcado_Dist!$A:$ZZ, 0, MATCH(R$2, Volcado_Dist!$1:$1, 0))), 0)</f>
        <v>0</v>
      </c>
      <c r="S23" s="16">
        <f>IFERROR(INDEX(Volcado_Dist!$A:$ZZ, MATCH($B23, Volcado_Dist!$A:$A, 0), MATCH(S$2, Volcado_Dist!$1:$1, 0)) / SUM(INDEX(Volcado_Dist!$A:$ZZ, 0, MATCH(S$2, Volcado_Dist!$1:$1, 0))), 0)</f>
        <v>0</v>
      </c>
      <c r="T23" s="16">
        <f>IFERROR(INDEX(Volcado_Dist!$A:$ZZ, MATCH($B23, Volcado_Dist!$A:$A, 0), MATCH(T$2, Volcado_Dist!$1:$1, 0)) / SUM(INDEX(Volcado_Dist!$A:$ZZ, 0, MATCH(T$2, Volcado_Dist!$1:$1, 0))), 0)</f>
        <v>0</v>
      </c>
      <c r="U23" s="16">
        <f>IFERROR(INDEX(Volcado_Dist!$A:$ZZ, MATCH($B23, Volcado_Dist!$A:$A, 0), MATCH(U$2, Volcado_Dist!$1:$1, 0)) / SUM(INDEX(Volcado_Dist!$A:$ZZ, 0, MATCH(U$2, Volcado_Dist!$1:$1, 0))), 0)</f>
        <v>0</v>
      </c>
      <c r="V23" s="16">
        <f>IFERROR(INDEX(Volcado_Dist!$A:$ZZ, MATCH($B23, Volcado_Dist!$A:$A, 0), MATCH(V$2, Volcado_Dist!$1:$1, 0)) / SUM(INDEX(Volcado_Dist!$A:$ZZ, 0, MATCH(V$2, Volcado_Dist!$1:$1, 0))), 0)</f>
        <v>0</v>
      </c>
      <c r="W23" s="16">
        <f t="shared" si="1"/>
        <v>5.5870717107238291E-4</v>
      </c>
      <c r="X23" s="17">
        <f>IFERROR(SUM(_xlfn.XLOOKUP($B23, Volcado_Vend!$A:$A, Volcado_Vend!$C:$ZZ, 0)) / SUM(Volcado_Vend!$C:$ZZ), 0)</f>
        <v>2.7009671702903245E-4</v>
      </c>
      <c r="Y23" s="24">
        <f t="shared" si="0"/>
        <v>4.1440194405070768E-4</v>
      </c>
    </row>
    <row r="24" spans="2:25" x14ac:dyDescent="0.25">
      <c r="B24" s="15" t="s">
        <v>48</v>
      </c>
      <c r="C24" s="16">
        <f>IFERROR(INDEX(Volcado_Dist!$A:$ZZ, MATCH($B24, Volcado_Dist!$A:$A, 0), MATCH(C$2, Volcado_Dist!$1:$1, 0)) / SUM(INDEX(Volcado_Dist!$A:$ZZ, 0, MATCH(C$2, Volcado_Dist!$1:$1, 0))), 0)</f>
        <v>8.3834341106391345E-4</v>
      </c>
      <c r="D24" s="16">
        <f>IFERROR(INDEX(Volcado_Dist!$A:$ZZ, MATCH($B24, Volcado_Dist!$A:$A, 0), MATCH(D$2, Volcado_Dist!$1:$1, 0)) / SUM(INDEX(Volcado_Dist!$A:$ZZ, 0, MATCH(D$2, Volcado_Dist!$1:$1, 0))), 0)</f>
        <v>0</v>
      </c>
      <c r="E24" s="16">
        <f>IFERROR(INDEX(Volcado_Dist!$A:$ZZ, MATCH($B24, Volcado_Dist!$A:$A, 0), MATCH(E$2, Volcado_Dist!$1:$1, 0)) / SUM(INDEX(Volcado_Dist!$A:$ZZ, 0, MATCH(E$2, Volcado_Dist!$1:$1, 0))), 0)</f>
        <v>1.4602787033397489E-2</v>
      </c>
      <c r="F24" s="16">
        <f>IFERROR(INDEX(Volcado_Dist!$A:$ZZ, MATCH($B24, Volcado_Dist!$A:$A, 0), MATCH(F$2, Volcado_Dist!$1:$1, 0)) / SUM(INDEX(Volcado_Dist!$A:$ZZ, 0, MATCH(F$2, Volcado_Dist!$1:$1, 0))), 0)</f>
        <v>0</v>
      </c>
      <c r="G24" s="16">
        <f>IFERROR(INDEX(Volcado_Dist!$A:$ZZ, MATCH($B24, Volcado_Dist!$A:$A, 0), MATCH(G$2, Volcado_Dist!$1:$1, 0)) / SUM(INDEX(Volcado_Dist!$A:$ZZ, 0, MATCH(G$2, Volcado_Dist!$1:$1, 0))), 0)</f>
        <v>0</v>
      </c>
      <c r="H24" s="16">
        <f>IFERROR(INDEX(Volcado_Dist!$A:$ZZ, MATCH($B24, Volcado_Dist!$A:$A, 0), MATCH(H$2, Volcado_Dist!$1:$1, 0)) / SUM(INDEX(Volcado_Dist!$A:$ZZ, 0, MATCH(H$2, Volcado_Dist!$1:$1, 0))), 0)</f>
        <v>0</v>
      </c>
      <c r="I24" s="16">
        <f>IFERROR(INDEX(Volcado_Dist!$A:$ZZ, MATCH($B24, Volcado_Dist!$A:$A, 0), MATCH(I$2, Volcado_Dist!$1:$1, 0)) / SUM(INDEX(Volcado_Dist!$A:$ZZ, 0, MATCH(I$2, Volcado_Dist!$1:$1, 0))), 0)</f>
        <v>5.8077944747051812E-3</v>
      </c>
      <c r="J24" s="16">
        <f>IFERROR(INDEX(Volcado_Dist!$A:$ZZ, MATCH($B24, Volcado_Dist!$A:$A, 0), MATCH(J$2, Volcado_Dist!$1:$1, 0)) / SUM(INDEX(Volcado_Dist!$A:$ZZ, 0, MATCH(J$2, Volcado_Dist!$1:$1, 0))), 0)</f>
        <v>0</v>
      </c>
      <c r="K24" s="16">
        <f>IFERROR(INDEX(Volcado_Dist!$A:$ZZ, MATCH($B24, Volcado_Dist!$A:$A, 0), MATCH(K$2, Volcado_Dist!$1:$1, 0)) / SUM(INDEX(Volcado_Dist!$A:$ZZ, 0, MATCH(K$2, Volcado_Dist!$1:$1, 0))), 0)</f>
        <v>6.4803906340121277E-4</v>
      </c>
      <c r="L24" s="16">
        <f>IFERROR(INDEX(Volcado_Dist!$A:$ZZ, MATCH($B24, Volcado_Dist!$A:$A, 0), MATCH(L$2, Volcado_Dist!$1:$1, 0)) / SUM(INDEX(Volcado_Dist!$A:$ZZ, 0, MATCH(L$2, Volcado_Dist!$1:$1, 0))), 0)</f>
        <v>4.8866387081123478E-3</v>
      </c>
      <c r="M24" s="16">
        <f>IFERROR(INDEX(Volcado_Dist!$A:$ZZ, MATCH($B24, Volcado_Dist!$A:$A, 0), MATCH(M$2, Volcado_Dist!$1:$1, 0)) / SUM(INDEX(Volcado_Dist!$A:$ZZ, 0, MATCH(M$2, Volcado_Dist!$1:$1, 0))), 0)</f>
        <v>0</v>
      </c>
      <c r="N24" s="16">
        <f>IFERROR(INDEX(Volcado_Dist!$A:$ZZ, MATCH($B24, Volcado_Dist!$A:$A, 0), MATCH(N$2, Volcado_Dist!$1:$1, 0)) / SUM(INDEX(Volcado_Dist!$A:$ZZ, 0, MATCH(N$2, Volcado_Dist!$1:$1, 0))), 0)</f>
        <v>0</v>
      </c>
      <c r="O24" s="16">
        <f>IFERROR(INDEX(Volcado_Dist!$A:$ZZ, MATCH($B24, Volcado_Dist!$A:$A, 0), MATCH(O$2, Volcado_Dist!$1:$1, 0)) / SUM(INDEX(Volcado_Dist!$A:$ZZ, 0, MATCH(O$2, Volcado_Dist!$1:$1, 0))), 0)</f>
        <v>0</v>
      </c>
      <c r="P24" s="16">
        <f>IFERROR(INDEX(Volcado_Dist!$A:$ZZ, MATCH($B24, Volcado_Dist!$A:$A, 0), MATCH(P$2, Volcado_Dist!$1:$1, 0)) / SUM(INDEX(Volcado_Dist!$A:$ZZ, 0, MATCH(P$2, Volcado_Dist!$1:$1, 0))), 0)</f>
        <v>1.9472725616891806E-4</v>
      </c>
      <c r="Q24" s="16">
        <f>IFERROR(INDEX(Volcado_Dist!$A:$ZZ, MATCH($B24, Volcado_Dist!$A:$A, 0), MATCH(Q$2, Volcado_Dist!$1:$1, 0)) / SUM(INDEX(Volcado_Dist!$A:$ZZ, 0, MATCH(Q$2, Volcado_Dist!$1:$1, 0))), 0)</f>
        <v>0</v>
      </c>
      <c r="R24" s="16">
        <f>IFERROR(INDEX(Volcado_Dist!$A:$ZZ, MATCH($B24, Volcado_Dist!$A:$A, 0), MATCH(R$2, Volcado_Dist!$1:$1, 0)) / SUM(INDEX(Volcado_Dist!$A:$ZZ, 0, MATCH(R$2, Volcado_Dist!$1:$1, 0))), 0)</f>
        <v>0</v>
      </c>
      <c r="S24" s="16">
        <f>IFERROR(INDEX(Volcado_Dist!$A:$ZZ, MATCH($B24, Volcado_Dist!$A:$A, 0), MATCH(S$2, Volcado_Dist!$1:$1, 0)) / SUM(INDEX(Volcado_Dist!$A:$ZZ, 0, MATCH(S$2, Volcado_Dist!$1:$1, 0))), 0)</f>
        <v>5.188708968963081E-3</v>
      </c>
      <c r="T24" s="16">
        <f>IFERROR(INDEX(Volcado_Dist!$A:$ZZ, MATCH($B24, Volcado_Dist!$A:$A, 0), MATCH(T$2, Volcado_Dist!$1:$1, 0)) / SUM(INDEX(Volcado_Dist!$A:$ZZ, 0, MATCH(T$2, Volcado_Dist!$1:$1, 0))), 0)</f>
        <v>0</v>
      </c>
      <c r="U24" s="16">
        <f>IFERROR(INDEX(Volcado_Dist!$A:$ZZ, MATCH($B24, Volcado_Dist!$A:$A, 0), MATCH(U$2, Volcado_Dist!$1:$1, 0)) / SUM(INDEX(Volcado_Dist!$A:$ZZ, 0, MATCH(U$2, Volcado_Dist!$1:$1, 0))), 0)</f>
        <v>0</v>
      </c>
      <c r="V24" s="16">
        <f>IFERROR(INDEX(Volcado_Dist!$A:$ZZ, MATCH($B24, Volcado_Dist!$A:$A, 0), MATCH(V$2, Volcado_Dist!$1:$1, 0)) / SUM(INDEX(Volcado_Dist!$A:$ZZ, 0, MATCH(V$2, Volcado_Dist!$1:$1, 0))), 0)</f>
        <v>1.0493390309377532E-2</v>
      </c>
      <c r="W24" s="16">
        <f t="shared" si="1"/>
        <v>2.1330214612594843E-3</v>
      </c>
      <c r="X24" s="17">
        <f>IFERROR(SUM(_xlfn.XLOOKUP($B24, Volcado_Vend!$A:$A, Volcado_Vend!$C:$ZZ, 0)) / SUM(Volcado_Vend!$C:$ZZ), 0)</f>
        <v>1.0198121819621531E-2</v>
      </c>
      <c r="Y24" s="24">
        <f t="shared" si="0"/>
        <v>6.1655716404405078E-3</v>
      </c>
    </row>
    <row r="25" spans="2:25" x14ac:dyDescent="0.25">
      <c r="B25" s="15" t="s">
        <v>49</v>
      </c>
      <c r="C25" s="16">
        <f>IFERROR(INDEX(Volcado_Dist!$A:$ZZ, MATCH($B25, Volcado_Dist!$A:$A, 0), MATCH(C$2, Volcado_Dist!$1:$1, 0)) / SUM(INDEX(Volcado_Dist!$A:$ZZ, 0, MATCH(C$2, Volcado_Dist!$1:$1, 0))), 0)</f>
        <v>9.836562689816585E-5</v>
      </c>
      <c r="D25" s="16">
        <f>IFERROR(INDEX(Volcado_Dist!$A:$ZZ, MATCH($B25, Volcado_Dist!$A:$A, 0), MATCH(D$2, Volcado_Dist!$1:$1, 0)) / SUM(INDEX(Volcado_Dist!$A:$ZZ, 0, MATCH(D$2, Volcado_Dist!$1:$1, 0))), 0)</f>
        <v>0</v>
      </c>
      <c r="E25" s="16">
        <f>IFERROR(INDEX(Volcado_Dist!$A:$ZZ, MATCH($B25, Volcado_Dist!$A:$A, 0), MATCH(E$2, Volcado_Dist!$1:$1, 0)) / SUM(INDEX(Volcado_Dist!$A:$ZZ, 0, MATCH(E$2, Volcado_Dist!$1:$1, 0))), 0)</f>
        <v>4.0651695361865765E-3</v>
      </c>
      <c r="F25" s="16">
        <f>IFERROR(INDEX(Volcado_Dist!$A:$ZZ, MATCH($B25, Volcado_Dist!$A:$A, 0), MATCH(F$2, Volcado_Dist!$1:$1, 0)) / SUM(INDEX(Volcado_Dist!$A:$ZZ, 0, MATCH(F$2, Volcado_Dist!$1:$1, 0))), 0)</f>
        <v>-1.4807918332895474E-4</v>
      </c>
      <c r="G25" s="16">
        <f>IFERROR(INDEX(Volcado_Dist!$A:$ZZ, MATCH($B25, Volcado_Dist!$A:$A, 0), MATCH(G$2, Volcado_Dist!$1:$1, 0)) / SUM(INDEX(Volcado_Dist!$A:$ZZ, 0, MATCH(G$2, Volcado_Dist!$1:$1, 0))), 0)</f>
        <v>0</v>
      </c>
      <c r="H25" s="16">
        <f>IFERROR(INDEX(Volcado_Dist!$A:$ZZ, MATCH($B25, Volcado_Dist!$A:$A, 0), MATCH(H$2, Volcado_Dist!$1:$1, 0)) / SUM(INDEX(Volcado_Dist!$A:$ZZ, 0, MATCH(H$2, Volcado_Dist!$1:$1, 0))), 0)</f>
        <v>0</v>
      </c>
      <c r="I25" s="16">
        <f>IFERROR(INDEX(Volcado_Dist!$A:$ZZ, MATCH($B25, Volcado_Dist!$A:$A, 0), MATCH(I$2, Volcado_Dist!$1:$1, 0)) / SUM(INDEX(Volcado_Dist!$A:$ZZ, 0, MATCH(I$2, Volcado_Dist!$1:$1, 0))), 0)</f>
        <v>1.9848616281684744E-3</v>
      </c>
      <c r="J25" s="16">
        <f>IFERROR(INDEX(Volcado_Dist!$A:$ZZ, MATCH($B25, Volcado_Dist!$A:$A, 0), MATCH(J$2, Volcado_Dist!$1:$1, 0)) / SUM(INDEX(Volcado_Dist!$A:$ZZ, 0, MATCH(J$2, Volcado_Dist!$1:$1, 0))), 0)</f>
        <v>0</v>
      </c>
      <c r="K25" s="16">
        <f>IFERROR(INDEX(Volcado_Dist!$A:$ZZ, MATCH($B25, Volcado_Dist!$A:$A, 0), MATCH(K$2, Volcado_Dist!$1:$1, 0)) / SUM(INDEX(Volcado_Dist!$A:$ZZ, 0, MATCH(K$2, Volcado_Dist!$1:$1, 0))), 0)</f>
        <v>7.6468670014626322E-4</v>
      </c>
      <c r="L25" s="16">
        <f>IFERROR(INDEX(Volcado_Dist!$A:$ZZ, MATCH($B25, Volcado_Dist!$A:$A, 0), MATCH(L$2, Volcado_Dist!$1:$1, 0)) / SUM(INDEX(Volcado_Dist!$A:$ZZ, 0, MATCH(L$2, Volcado_Dist!$1:$1, 0))), 0)</f>
        <v>0</v>
      </c>
      <c r="M25" s="16">
        <f>IFERROR(INDEX(Volcado_Dist!$A:$ZZ, MATCH($B25, Volcado_Dist!$A:$A, 0), MATCH(M$2, Volcado_Dist!$1:$1, 0)) / SUM(INDEX(Volcado_Dist!$A:$ZZ, 0, MATCH(M$2, Volcado_Dist!$1:$1, 0))), 0)</f>
        <v>2.4977323207145256E-3</v>
      </c>
      <c r="N25" s="16">
        <f>IFERROR(INDEX(Volcado_Dist!$A:$ZZ, MATCH($B25, Volcado_Dist!$A:$A, 0), MATCH(N$2, Volcado_Dist!$1:$1, 0)) / SUM(INDEX(Volcado_Dist!$A:$ZZ, 0, MATCH(N$2, Volcado_Dist!$1:$1, 0))), 0)</f>
        <v>0</v>
      </c>
      <c r="O25" s="16">
        <f>IFERROR(INDEX(Volcado_Dist!$A:$ZZ, MATCH($B25, Volcado_Dist!$A:$A, 0), MATCH(O$2, Volcado_Dist!$1:$1, 0)) / SUM(INDEX(Volcado_Dist!$A:$ZZ, 0, MATCH(O$2, Volcado_Dist!$1:$1, 0))), 0)</f>
        <v>-1.4540382411321686E-3</v>
      </c>
      <c r="P25" s="16">
        <f>IFERROR(INDEX(Volcado_Dist!$A:$ZZ, MATCH($B25, Volcado_Dist!$A:$A, 0), MATCH(P$2, Volcado_Dist!$1:$1, 0)) / SUM(INDEX(Volcado_Dist!$A:$ZZ, 0, MATCH(P$2, Volcado_Dist!$1:$1, 0))), 0)</f>
        <v>5.8012495066990175E-4</v>
      </c>
      <c r="Q25" s="16">
        <f>IFERROR(INDEX(Volcado_Dist!$A:$ZZ, MATCH($B25, Volcado_Dist!$A:$A, 0), MATCH(Q$2, Volcado_Dist!$1:$1, 0)) / SUM(INDEX(Volcado_Dist!$A:$ZZ, 0, MATCH(Q$2, Volcado_Dist!$1:$1, 0))), 0)</f>
        <v>0</v>
      </c>
      <c r="R25" s="16">
        <f>IFERROR(INDEX(Volcado_Dist!$A:$ZZ, MATCH($B25, Volcado_Dist!$A:$A, 0), MATCH(R$2, Volcado_Dist!$1:$1, 0)) / SUM(INDEX(Volcado_Dist!$A:$ZZ, 0, MATCH(R$2, Volcado_Dist!$1:$1, 0))), 0)</f>
        <v>0</v>
      </c>
      <c r="S25" s="16">
        <f>IFERROR(INDEX(Volcado_Dist!$A:$ZZ, MATCH($B25, Volcado_Dist!$A:$A, 0), MATCH(S$2, Volcado_Dist!$1:$1, 0)) / SUM(INDEX(Volcado_Dist!$A:$ZZ, 0, MATCH(S$2, Volcado_Dist!$1:$1, 0))), 0)</f>
        <v>0</v>
      </c>
      <c r="T25" s="16">
        <f>IFERROR(INDEX(Volcado_Dist!$A:$ZZ, MATCH($B25, Volcado_Dist!$A:$A, 0), MATCH(T$2, Volcado_Dist!$1:$1, 0)) / SUM(INDEX(Volcado_Dist!$A:$ZZ, 0, MATCH(T$2, Volcado_Dist!$1:$1, 0))), 0)</f>
        <v>0</v>
      </c>
      <c r="U25" s="16">
        <f>IFERROR(INDEX(Volcado_Dist!$A:$ZZ, MATCH($B25, Volcado_Dist!$A:$A, 0), MATCH(U$2, Volcado_Dist!$1:$1, 0)) / SUM(INDEX(Volcado_Dist!$A:$ZZ, 0, MATCH(U$2, Volcado_Dist!$1:$1, 0))), 0)</f>
        <v>0</v>
      </c>
      <c r="V25" s="16">
        <f>IFERROR(INDEX(Volcado_Dist!$A:$ZZ, MATCH($B25, Volcado_Dist!$A:$A, 0), MATCH(V$2, Volcado_Dist!$1:$1, 0)) / SUM(INDEX(Volcado_Dist!$A:$ZZ, 0, MATCH(V$2, Volcado_Dist!$1:$1, 0))), 0)</f>
        <v>0</v>
      </c>
      <c r="W25" s="16">
        <f t="shared" si="1"/>
        <v>4.1944116691613917E-4</v>
      </c>
      <c r="X25" s="17">
        <f>IFERROR(SUM(_xlfn.XLOOKUP($B25, Volcado_Vend!$A:$A, Volcado_Vend!$C:$ZZ, 0)) / SUM(Volcado_Vend!$C:$ZZ), 0)</f>
        <v>3.3626418927448576E-3</v>
      </c>
      <c r="Y25" s="24">
        <f t="shared" si="0"/>
        <v>1.8910415298304985E-3</v>
      </c>
    </row>
    <row r="26" spans="2:25" x14ac:dyDescent="0.25">
      <c r="B26" s="15" t="s">
        <v>50</v>
      </c>
      <c r="C26" s="16">
        <f>IFERROR(INDEX(Volcado_Dist!$A:$ZZ, MATCH($B26, Volcado_Dist!$A:$A, 0), MATCH(C$2, Volcado_Dist!$1:$1, 0)) / SUM(INDEX(Volcado_Dist!$A:$ZZ, 0, MATCH(C$2, Volcado_Dist!$1:$1, 0))), 0)</f>
        <v>2.9253229988970827E-2</v>
      </c>
      <c r="D26" s="16">
        <f>IFERROR(INDEX(Volcado_Dist!$A:$ZZ, MATCH($B26, Volcado_Dist!$A:$A, 0), MATCH(D$2, Volcado_Dist!$1:$1, 0)) / SUM(INDEX(Volcado_Dist!$A:$ZZ, 0, MATCH(D$2, Volcado_Dist!$1:$1, 0))), 0)</f>
        <v>0</v>
      </c>
      <c r="E26" s="16">
        <f>IFERROR(INDEX(Volcado_Dist!$A:$ZZ, MATCH($B26, Volcado_Dist!$A:$A, 0), MATCH(E$2, Volcado_Dist!$1:$1, 0)) / SUM(INDEX(Volcado_Dist!$A:$ZZ, 0, MATCH(E$2, Volcado_Dist!$1:$1, 0))), 0)</f>
        <v>2.0769595136630549E-2</v>
      </c>
      <c r="F26" s="16">
        <f>IFERROR(INDEX(Volcado_Dist!$A:$ZZ, MATCH($B26, Volcado_Dist!$A:$A, 0), MATCH(F$2, Volcado_Dist!$1:$1, 0)) / SUM(INDEX(Volcado_Dist!$A:$ZZ, 0, MATCH(F$2, Volcado_Dist!$1:$1, 0))), 0)</f>
        <v>3.054512846373356E-2</v>
      </c>
      <c r="G26" s="16">
        <f>IFERROR(INDEX(Volcado_Dist!$A:$ZZ, MATCH($B26, Volcado_Dist!$A:$A, 0), MATCH(G$2, Volcado_Dist!$1:$1, 0)) / SUM(INDEX(Volcado_Dist!$A:$ZZ, 0, MATCH(G$2, Volcado_Dist!$1:$1, 0))), 0)</f>
        <v>0</v>
      </c>
      <c r="H26" s="16">
        <f>IFERROR(INDEX(Volcado_Dist!$A:$ZZ, MATCH($B26, Volcado_Dist!$A:$A, 0), MATCH(H$2, Volcado_Dist!$1:$1, 0)) / SUM(INDEX(Volcado_Dist!$A:$ZZ, 0, MATCH(H$2, Volcado_Dist!$1:$1, 0))), 0)</f>
        <v>0</v>
      </c>
      <c r="I26" s="16">
        <f>IFERROR(INDEX(Volcado_Dist!$A:$ZZ, MATCH($B26, Volcado_Dist!$A:$A, 0), MATCH(I$2, Volcado_Dist!$1:$1, 0)) / SUM(INDEX(Volcado_Dist!$A:$ZZ, 0, MATCH(I$2, Volcado_Dist!$1:$1, 0))), 0)</f>
        <v>3.6181373852759241E-2</v>
      </c>
      <c r="J26" s="16">
        <f>IFERROR(INDEX(Volcado_Dist!$A:$ZZ, MATCH($B26, Volcado_Dist!$A:$A, 0), MATCH(J$2, Volcado_Dist!$1:$1, 0)) / SUM(INDEX(Volcado_Dist!$A:$ZZ, 0, MATCH(J$2, Volcado_Dist!$1:$1, 0))), 0)</f>
        <v>0</v>
      </c>
      <c r="K26" s="16">
        <f>IFERROR(INDEX(Volcado_Dist!$A:$ZZ, MATCH($B26, Volcado_Dist!$A:$A, 0), MATCH(K$2, Volcado_Dist!$1:$1, 0)) / SUM(INDEX(Volcado_Dist!$A:$ZZ, 0, MATCH(K$2, Volcado_Dist!$1:$1, 0))), 0)</f>
        <v>4.4312278362444397E-2</v>
      </c>
      <c r="L26" s="16">
        <f>IFERROR(INDEX(Volcado_Dist!$A:$ZZ, MATCH($B26, Volcado_Dist!$A:$A, 0), MATCH(L$2, Volcado_Dist!$1:$1, 0)) / SUM(INDEX(Volcado_Dist!$A:$ZZ, 0, MATCH(L$2, Volcado_Dist!$1:$1, 0))), 0)</f>
        <v>2.124008055972958E-2</v>
      </c>
      <c r="M26" s="16">
        <f>IFERROR(INDEX(Volcado_Dist!$A:$ZZ, MATCH($B26, Volcado_Dist!$A:$A, 0), MATCH(M$2, Volcado_Dist!$1:$1, 0)) / SUM(INDEX(Volcado_Dist!$A:$ZZ, 0, MATCH(M$2, Volcado_Dist!$1:$1, 0))), 0)</f>
        <v>3.0122588713768682E-2</v>
      </c>
      <c r="N26" s="16">
        <f>IFERROR(INDEX(Volcado_Dist!$A:$ZZ, MATCH($B26, Volcado_Dist!$A:$A, 0), MATCH(N$2, Volcado_Dist!$1:$1, 0)) / SUM(INDEX(Volcado_Dist!$A:$ZZ, 0, MATCH(N$2, Volcado_Dist!$1:$1, 0))), 0)</f>
        <v>0</v>
      </c>
      <c r="O26" s="16">
        <f>IFERROR(INDEX(Volcado_Dist!$A:$ZZ, MATCH($B26, Volcado_Dist!$A:$A, 0), MATCH(O$2, Volcado_Dist!$1:$1, 0)) / SUM(INDEX(Volcado_Dist!$A:$ZZ, 0, MATCH(O$2, Volcado_Dist!$1:$1, 0))), 0)</f>
        <v>2.4246559761216938E-3</v>
      </c>
      <c r="P26" s="16">
        <f>IFERROR(INDEX(Volcado_Dist!$A:$ZZ, MATCH($B26, Volcado_Dist!$A:$A, 0), MATCH(P$2, Volcado_Dist!$1:$1, 0)) / SUM(INDEX(Volcado_Dist!$A:$ZZ, 0, MATCH(P$2, Volcado_Dist!$1:$1, 0))), 0)</f>
        <v>2.4710564789268214E-2</v>
      </c>
      <c r="Q26" s="16">
        <f>IFERROR(INDEX(Volcado_Dist!$A:$ZZ, MATCH($B26, Volcado_Dist!$A:$A, 0), MATCH(Q$2, Volcado_Dist!$1:$1, 0)) / SUM(INDEX(Volcado_Dist!$A:$ZZ, 0, MATCH(Q$2, Volcado_Dist!$1:$1, 0))), 0)</f>
        <v>5.0332678264361753E-2</v>
      </c>
      <c r="R26" s="16">
        <f>IFERROR(INDEX(Volcado_Dist!$A:$ZZ, MATCH($B26, Volcado_Dist!$A:$A, 0), MATCH(R$2, Volcado_Dist!$1:$1, 0)) / SUM(INDEX(Volcado_Dist!$A:$ZZ, 0, MATCH(R$2, Volcado_Dist!$1:$1, 0))), 0)</f>
        <v>6.8562977258670263E-2</v>
      </c>
      <c r="S26" s="16">
        <f>IFERROR(INDEX(Volcado_Dist!$A:$ZZ, MATCH($B26, Volcado_Dist!$A:$A, 0), MATCH(S$2, Volcado_Dist!$1:$1, 0)) / SUM(INDEX(Volcado_Dist!$A:$ZZ, 0, MATCH(S$2, Volcado_Dist!$1:$1, 0))), 0)</f>
        <v>4.4698704769148008E-2</v>
      </c>
      <c r="T26" s="16">
        <f>IFERROR(INDEX(Volcado_Dist!$A:$ZZ, MATCH($B26, Volcado_Dist!$A:$A, 0), MATCH(T$2, Volcado_Dist!$1:$1, 0)) / SUM(INDEX(Volcado_Dist!$A:$ZZ, 0, MATCH(T$2, Volcado_Dist!$1:$1, 0))), 0)</f>
        <v>5.7149428961795382E-2</v>
      </c>
      <c r="U26" s="16">
        <f>IFERROR(INDEX(Volcado_Dist!$A:$ZZ, MATCH($B26, Volcado_Dist!$A:$A, 0), MATCH(U$2, Volcado_Dist!$1:$1, 0)) / SUM(INDEX(Volcado_Dist!$A:$ZZ, 0, MATCH(U$2, Volcado_Dist!$1:$1, 0))), 0)</f>
        <v>1.3805294339054328E-3</v>
      </c>
      <c r="V26" s="16">
        <f>IFERROR(INDEX(Volcado_Dist!$A:$ZZ, MATCH($B26, Volcado_Dist!$A:$A, 0), MATCH(V$2, Volcado_Dist!$1:$1, 0)) / SUM(INDEX(Volcado_Dist!$A:$ZZ, 0, MATCH(V$2, Volcado_Dist!$1:$1, 0))), 0)</f>
        <v>3.3921020464973965E-2</v>
      </c>
      <c r="W26" s="16">
        <f t="shared" si="1"/>
        <v>2.4780241749814077E-2</v>
      </c>
      <c r="X26" s="17">
        <f>IFERROR(SUM(_xlfn.XLOOKUP($B26, Volcado_Vend!$A:$A, Volcado_Vend!$C:$ZZ, 0)) / SUM(Volcado_Vend!$C:$ZZ), 0)</f>
        <v>6.1555218832830362E-2</v>
      </c>
      <c r="Y26" s="24">
        <f t="shared" si="0"/>
        <v>4.3167730291322218E-2</v>
      </c>
    </row>
    <row r="27" spans="2:25" x14ac:dyDescent="0.25">
      <c r="B27" s="15" t="s">
        <v>51</v>
      </c>
      <c r="C27" s="16">
        <f>IFERROR(INDEX(Volcado_Dist!$A:$ZZ, MATCH($B27, Volcado_Dist!$A:$A, 0), MATCH(C$2, Volcado_Dist!$1:$1, 0)) / SUM(INDEX(Volcado_Dist!$A:$ZZ, 0, MATCH(C$2, Volcado_Dist!$1:$1, 0))), 0)</f>
        <v>8.7224974457805401E-4</v>
      </c>
      <c r="D27" s="16">
        <f>IFERROR(INDEX(Volcado_Dist!$A:$ZZ, MATCH($B27, Volcado_Dist!$A:$A, 0), MATCH(D$2, Volcado_Dist!$1:$1, 0)) / SUM(INDEX(Volcado_Dist!$A:$ZZ, 0, MATCH(D$2, Volcado_Dist!$1:$1, 0))), 0)</f>
        <v>0</v>
      </c>
      <c r="E27" s="16">
        <f>IFERROR(INDEX(Volcado_Dist!$A:$ZZ, MATCH($B27, Volcado_Dist!$A:$A, 0), MATCH(E$2, Volcado_Dist!$1:$1, 0)) / SUM(INDEX(Volcado_Dist!$A:$ZZ, 0, MATCH(E$2, Volcado_Dist!$1:$1, 0))), 0)</f>
        <v>1.1359149023147605E-3</v>
      </c>
      <c r="F27" s="16">
        <f>IFERROR(INDEX(Volcado_Dist!$A:$ZZ, MATCH($B27, Volcado_Dist!$A:$A, 0), MATCH(F$2, Volcado_Dist!$1:$1, 0)) / SUM(INDEX(Volcado_Dist!$A:$ZZ, 0, MATCH(F$2, Volcado_Dist!$1:$1, 0))), 0)</f>
        <v>0</v>
      </c>
      <c r="G27" s="16">
        <f>IFERROR(INDEX(Volcado_Dist!$A:$ZZ, MATCH($B27, Volcado_Dist!$A:$A, 0), MATCH(G$2, Volcado_Dist!$1:$1, 0)) / SUM(INDEX(Volcado_Dist!$A:$ZZ, 0, MATCH(G$2, Volcado_Dist!$1:$1, 0))), 0)</f>
        <v>0</v>
      </c>
      <c r="H27" s="16">
        <f>IFERROR(INDEX(Volcado_Dist!$A:$ZZ, MATCH($B27, Volcado_Dist!$A:$A, 0), MATCH(H$2, Volcado_Dist!$1:$1, 0)) / SUM(INDEX(Volcado_Dist!$A:$ZZ, 0, MATCH(H$2, Volcado_Dist!$1:$1, 0))), 0)</f>
        <v>0</v>
      </c>
      <c r="I27" s="16">
        <f>IFERROR(INDEX(Volcado_Dist!$A:$ZZ, MATCH($B27, Volcado_Dist!$A:$A, 0), MATCH(I$2, Volcado_Dist!$1:$1, 0)) / SUM(INDEX(Volcado_Dist!$A:$ZZ, 0, MATCH(I$2, Volcado_Dist!$1:$1, 0))), 0)</f>
        <v>1.1470216804439111E-4</v>
      </c>
      <c r="J27" s="16">
        <f>IFERROR(INDEX(Volcado_Dist!$A:$ZZ, MATCH($B27, Volcado_Dist!$A:$A, 0), MATCH(J$2, Volcado_Dist!$1:$1, 0)) / SUM(INDEX(Volcado_Dist!$A:$ZZ, 0, MATCH(J$2, Volcado_Dist!$1:$1, 0))), 0)</f>
        <v>0</v>
      </c>
      <c r="K27" s="16">
        <f>IFERROR(INDEX(Volcado_Dist!$A:$ZZ, MATCH($B27, Volcado_Dist!$A:$A, 0), MATCH(K$2, Volcado_Dist!$1:$1, 0)) / SUM(INDEX(Volcado_Dist!$A:$ZZ, 0, MATCH(K$2, Volcado_Dist!$1:$1, 0))), 0)</f>
        <v>3.0263009607846645E-3</v>
      </c>
      <c r="L27" s="16">
        <f>IFERROR(INDEX(Volcado_Dist!$A:$ZZ, MATCH($B27, Volcado_Dist!$A:$A, 0), MATCH(L$2, Volcado_Dist!$1:$1, 0)) / SUM(INDEX(Volcado_Dist!$A:$ZZ, 0, MATCH(L$2, Volcado_Dist!$1:$1, 0))), 0)</f>
        <v>0</v>
      </c>
      <c r="M27" s="16">
        <f>IFERROR(INDEX(Volcado_Dist!$A:$ZZ, MATCH($B27, Volcado_Dist!$A:$A, 0), MATCH(M$2, Volcado_Dist!$1:$1, 0)) / SUM(INDEX(Volcado_Dist!$A:$ZZ, 0, MATCH(M$2, Volcado_Dist!$1:$1, 0))), 0)</f>
        <v>0</v>
      </c>
      <c r="N27" s="16">
        <f>IFERROR(INDEX(Volcado_Dist!$A:$ZZ, MATCH($B27, Volcado_Dist!$A:$A, 0), MATCH(N$2, Volcado_Dist!$1:$1, 0)) / SUM(INDEX(Volcado_Dist!$A:$ZZ, 0, MATCH(N$2, Volcado_Dist!$1:$1, 0))), 0)</f>
        <v>0</v>
      </c>
      <c r="O27" s="16">
        <f>IFERROR(INDEX(Volcado_Dist!$A:$ZZ, MATCH($B27, Volcado_Dist!$A:$A, 0), MATCH(O$2, Volcado_Dist!$1:$1, 0)) / SUM(INDEX(Volcado_Dist!$A:$ZZ, 0, MATCH(O$2, Volcado_Dist!$1:$1, 0))), 0)</f>
        <v>-1.8883613521196996E-4</v>
      </c>
      <c r="P27" s="16">
        <f>IFERROR(INDEX(Volcado_Dist!$A:$ZZ, MATCH($B27, Volcado_Dist!$A:$A, 0), MATCH(P$2, Volcado_Dist!$1:$1, 0)) / SUM(INDEX(Volcado_Dist!$A:$ZZ, 0, MATCH(P$2, Volcado_Dist!$1:$1, 0))), 0)</f>
        <v>3.1896730242252466E-4</v>
      </c>
      <c r="Q27" s="16">
        <f>IFERROR(INDEX(Volcado_Dist!$A:$ZZ, MATCH($B27, Volcado_Dist!$A:$A, 0), MATCH(Q$2, Volcado_Dist!$1:$1, 0)) / SUM(INDEX(Volcado_Dist!$A:$ZZ, 0, MATCH(Q$2, Volcado_Dist!$1:$1, 0))), 0)</f>
        <v>-5.3479921172614236E-5</v>
      </c>
      <c r="R27" s="16">
        <f>IFERROR(INDEX(Volcado_Dist!$A:$ZZ, MATCH($B27, Volcado_Dist!$A:$A, 0), MATCH(R$2, Volcado_Dist!$1:$1, 0)) / SUM(INDEX(Volcado_Dist!$A:$ZZ, 0, MATCH(R$2, Volcado_Dist!$1:$1, 0))), 0)</f>
        <v>0</v>
      </c>
      <c r="S27" s="16">
        <f>IFERROR(INDEX(Volcado_Dist!$A:$ZZ, MATCH($B27, Volcado_Dist!$A:$A, 0), MATCH(S$2, Volcado_Dist!$1:$1, 0)) / SUM(INDEX(Volcado_Dist!$A:$ZZ, 0, MATCH(S$2, Volcado_Dist!$1:$1, 0))), 0)</f>
        <v>9.3150400967019508E-4</v>
      </c>
      <c r="T27" s="16">
        <f>IFERROR(INDEX(Volcado_Dist!$A:$ZZ, MATCH($B27, Volcado_Dist!$A:$A, 0), MATCH(T$2, Volcado_Dist!$1:$1, 0)) / SUM(INDEX(Volcado_Dist!$A:$ZZ, 0, MATCH(T$2, Volcado_Dist!$1:$1, 0))), 0)</f>
        <v>2.7689572397030628E-3</v>
      </c>
      <c r="U27" s="16">
        <f>IFERROR(INDEX(Volcado_Dist!$A:$ZZ, MATCH($B27, Volcado_Dist!$A:$A, 0), MATCH(U$2, Volcado_Dist!$1:$1, 0)) / SUM(INDEX(Volcado_Dist!$A:$ZZ, 0, MATCH(U$2, Volcado_Dist!$1:$1, 0))), 0)</f>
        <v>0</v>
      </c>
      <c r="V27" s="16">
        <f>IFERROR(INDEX(Volcado_Dist!$A:$ZZ, MATCH($B27, Volcado_Dist!$A:$A, 0), MATCH(V$2, Volcado_Dist!$1:$1, 0)) / SUM(INDEX(Volcado_Dist!$A:$ZZ, 0, MATCH(V$2, Volcado_Dist!$1:$1, 0))), 0)</f>
        <v>1.5467375885404513E-3</v>
      </c>
      <c r="W27" s="16">
        <f t="shared" si="1"/>
        <v>5.2365089298367601E-4</v>
      </c>
      <c r="X27" s="17">
        <f>IFERROR(SUM(_xlfn.XLOOKUP($B27, Volcado_Vend!$A:$A, Volcado_Vend!$C:$ZZ, 0)) / SUM(Volcado_Vend!$C:$ZZ), 0)</f>
        <v>5.5730785737211647E-3</v>
      </c>
      <c r="Y27" s="24">
        <f t="shared" si="0"/>
        <v>3.0483647333524205E-3</v>
      </c>
    </row>
    <row r="28" spans="2:25" x14ac:dyDescent="0.25">
      <c r="B28" s="15" t="s">
        <v>52</v>
      </c>
      <c r="C28" s="16">
        <f>IFERROR(INDEX(Volcado_Dist!$A:$ZZ, MATCH($B28, Volcado_Dist!$A:$A, 0), MATCH(C$2, Volcado_Dist!$1:$1, 0)) / SUM(INDEX(Volcado_Dist!$A:$ZZ, 0, MATCH(C$2, Volcado_Dist!$1:$1, 0))), 0)</f>
        <v>8.1334553480673488E-3</v>
      </c>
      <c r="D28" s="16">
        <f>IFERROR(INDEX(Volcado_Dist!$A:$ZZ, MATCH($B28, Volcado_Dist!$A:$A, 0), MATCH(D$2, Volcado_Dist!$1:$1, 0)) / SUM(INDEX(Volcado_Dist!$A:$ZZ, 0, MATCH(D$2, Volcado_Dist!$1:$1, 0))), 0)</f>
        <v>0</v>
      </c>
      <c r="E28" s="16">
        <f>IFERROR(INDEX(Volcado_Dist!$A:$ZZ, MATCH($B28, Volcado_Dist!$A:$A, 0), MATCH(E$2, Volcado_Dist!$1:$1, 0)) / SUM(INDEX(Volcado_Dist!$A:$ZZ, 0, MATCH(E$2, Volcado_Dist!$1:$1, 0))), 0)</f>
        <v>1.0593507875233677E-2</v>
      </c>
      <c r="F28" s="16">
        <f>IFERROR(INDEX(Volcado_Dist!$A:$ZZ, MATCH($B28, Volcado_Dist!$A:$A, 0), MATCH(F$2, Volcado_Dist!$1:$1, 0)) / SUM(INDEX(Volcado_Dist!$A:$ZZ, 0, MATCH(F$2, Volcado_Dist!$1:$1, 0))), 0)</f>
        <v>4.7663979506156647E-3</v>
      </c>
      <c r="G28" s="16">
        <f>IFERROR(INDEX(Volcado_Dist!$A:$ZZ, MATCH($B28, Volcado_Dist!$A:$A, 0), MATCH(G$2, Volcado_Dist!$1:$1, 0)) / SUM(INDEX(Volcado_Dist!$A:$ZZ, 0, MATCH(G$2, Volcado_Dist!$1:$1, 0))), 0)</f>
        <v>0</v>
      </c>
      <c r="H28" s="16">
        <f>IFERROR(INDEX(Volcado_Dist!$A:$ZZ, MATCH($B28, Volcado_Dist!$A:$A, 0), MATCH(H$2, Volcado_Dist!$1:$1, 0)) / SUM(INDEX(Volcado_Dist!$A:$ZZ, 0, MATCH(H$2, Volcado_Dist!$1:$1, 0))), 0)</f>
        <v>0</v>
      </c>
      <c r="I28" s="16">
        <f>IFERROR(INDEX(Volcado_Dist!$A:$ZZ, MATCH($B28, Volcado_Dist!$A:$A, 0), MATCH(I$2, Volcado_Dist!$1:$1, 0)) / SUM(INDEX(Volcado_Dist!$A:$ZZ, 0, MATCH(I$2, Volcado_Dist!$1:$1, 0))), 0)</f>
        <v>7.5386227691734307E-3</v>
      </c>
      <c r="J28" s="16">
        <f>IFERROR(INDEX(Volcado_Dist!$A:$ZZ, MATCH($B28, Volcado_Dist!$A:$A, 0), MATCH(J$2, Volcado_Dist!$1:$1, 0)) / SUM(INDEX(Volcado_Dist!$A:$ZZ, 0, MATCH(J$2, Volcado_Dist!$1:$1, 0))), 0)</f>
        <v>0</v>
      </c>
      <c r="K28" s="16">
        <f>IFERROR(INDEX(Volcado_Dist!$A:$ZZ, MATCH($B28, Volcado_Dist!$A:$A, 0), MATCH(K$2, Volcado_Dist!$1:$1, 0)) / SUM(INDEX(Volcado_Dist!$A:$ZZ, 0, MATCH(K$2, Volcado_Dist!$1:$1, 0))), 0)</f>
        <v>4.9596558049215438E-3</v>
      </c>
      <c r="L28" s="16">
        <f>IFERROR(INDEX(Volcado_Dist!$A:$ZZ, MATCH($B28, Volcado_Dist!$A:$A, 0), MATCH(L$2, Volcado_Dist!$1:$1, 0)) / SUM(INDEX(Volcado_Dist!$A:$ZZ, 0, MATCH(L$2, Volcado_Dist!$1:$1, 0))), 0)</f>
        <v>2.7607811951283344E-3</v>
      </c>
      <c r="M28" s="16">
        <f>IFERROR(INDEX(Volcado_Dist!$A:$ZZ, MATCH($B28, Volcado_Dist!$A:$A, 0), MATCH(M$2, Volcado_Dist!$1:$1, 0)) / SUM(INDEX(Volcado_Dist!$A:$ZZ, 0, MATCH(M$2, Volcado_Dist!$1:$1, 0))), 0)</f>
        <v>-3.4388940563569764E-3</v>
      </c>
      <c r="N28" s="16">
        <f>IFERROR(INDEX(Volcado_Dist!$A:$ZZ, MATCH($B28, Volcado_Dist!$A:$A, 0), MATCH(N$2, Volcado_Dist!$1:$1, 0)) / SUM(INDEX(Volcado_Dist!$A:$ZZ, 0, MATCH(N$2, Volcado_Dist!$1:$1, 0))), 0)</f>
        <v>0</v>
      </c>
      <c r="O28" s="16">
        <f>IFERROR(INDEX(Volcado_Dist!$A:$ZZ, MATCH($B28, Volcado_Dist!$A:$A, 0), MATCH(O$2, Volcado_Dist!$1:$1, 0)) / SUM(INDEX(Volcado_Dist!$A:$ZZ, 0, MATCH(O$2, Volcado_Dist!$1:$1, 0))), 0)</f>
        <v>0</v>
      </c>
      <c r="P28" s="16">
        <f>IFERROR(INDEX(Volcado_Dist!$A:$ZZ, MATCH($B28, Volcado_Dist!$A:$A, 0), MATCH(P$2, Volcado_Dist!$1:$1, 0)) / SUM(INDEX(Volcado_Dist!$A:$ZZ, 0, MATCH(P$2, Volcado_Dist!$1:$1, 0))), 0)</f>
        <v>1.0510612419778111E-2</v>
      </c>
      <c r="Q28" s="16">
        <f>IFERROR(INDEX(Volcado_Dist!$A:$ZZ, MATCH($B28, Volcado_Dist!$A:$A, 0), MATCH(Q$2, Volcado_Dist!$1:$1, 0)) / SUM(INDEX(Volcado_Dist!$A:$ZZ, 0, MATCH(Q$2, Volcado_Dist!$1:$1, 0))), 0)</f>
        <v>0</v>
      </c>
      <c r="R28" s="16">
        <f>IFERROR(INDEX(Volcado_Dist!$A:$ZZ, MATCH($B28, Volcado_Dist!$A:$A, 0), MATCH(R$2, Volcado_Dist!$1:$1, 0)) / SUM(INDEX(Volcado_Dist!$A:$ZZ, 0, MATCH(R$2, Volcado_Dist!$1:$1, 0))), 0)</f>
        <v>0</v>
      </c>
      <c r="S28" s="16">
        <f>IFERROR(INDEX(Volcado_Dist!$A:$ZZ, MATCH($B28, Volcado_Dist!$A:$A, 0), MATCH(S$2, Volcado_Dist!$1:$1, 0)) / SUM(INDEX(Volcado_Dist!$A:$ZZ, 0, MATCH(S$2, Volcado_Dist!$1:$1, 0))), 0)</f>
        <v>8.0203653408104265E-3</v>
      </c>
      <c r="T28" s="16">
        <f>IFERROR(INDEX(Volcado_Dist!$A:$ZZ, MATCH($B28, Volcado_Dist!$A:$A, 0), MATCH(T$2, Volcado_Dist!$1:$1, 0)) / SUM(INDEX(Volcado_Dist!$A:$ZZ, 0, MATCH(T$2, Volcado_Dist!$1:$1, 0))), 0)</f>
        <v>1.3230710706782212E-2</v>
      </c>
      <c r="U28" s="16">
        <f>IFERROR(INDEX(Volcado_Dist!$A:$ZZ, MATCH($B28, Volcado_Dist!$A:$A, 0), MATCH(U$2, Volcado_Dist!$1:$1, 0)) / SUM(INDEX(Volcado_Dist!$A:$ZZ, 0, MATCH(U$2, Volcado_Dist!$1:$1, 0))), 0)</f>
        <v>0</v>
      </c>
      <c r="V28" s="16">
        <f>IFERROR(INDEX(Volcado_Dist!$A:$ZZ, MATCH($B28, Volcado_Dist!$A:$A, 0), MATCH(V$2, Volcado_Dist!$1:$1, 0)) / SUM(INDEX(Volcado_Dist!$A:$ZZ, 0, MATCH(V$2, Volcado_Dist!$1:$1, 0))), 0)</f>
        <v>7.8603056706606396E-3</v>
      </c>
      <c r="W28" s="16">
        <f t="shared" si="1"/>
        <v>3.7467760512407203E-3</v>
      </c>
      <c r="X28" s="17">
        <f>IFERROR(SUM(_xlfn.XLOOKUP($B28, Volcado_Vend!$A:$A, Volcado_Vend!$C:$ZZ, 0)) / SUM(Volcado_Vend!$C:$ZZ), 0)</f>
        <v>9.3401187308104119E-3</v>
      </c>
      <c r="Y28" s="24">
        <f t="shared" si="0"/>
        <v>6.5434473910255661E-3</v>
      </c>
    </row>
    <row r="29" spans="2:25" x14ac:dyDescent="0.25">
      <c r="B29" s="15" t="s">
        <v>53</v>
      </c>
      <c r="C29" s="16">
        <f>IFERROR(INDEX(Volcado_Dist!$A:$ZZ, MATCH($B29, Volcado_Dist!$A:$A, 0), MATCH(C$2, Volcado_Dist!$1:$1, 0)) / SUM(INDEX(Volcado_Dist!$A:$ZZ, 0, MATCH(C$2, Volcado_Dist!$1:$1, 0))), 0)</f>
        <v>3.0964679633985128E-3</v>
      </c>
      <c r="D29" s="16">
        <f>IFERROR(INDEX(Volcado_Dist!$A:$ZZ, MATCH($B29, Volcado_Dist!$A:$A, 0), MATCH(D$2, Volcado_Dist!$1:$1, 0)) / SUM(INDEX(Volcado_Dist!$A:$ZZ, 0, MATCH(D$2, Volcado_Dist!$1:$1, 0))), 0)</f>
        <v>0</v>
      </c>
      <c r="E29" s="16">
        <f>IFERROR(INDEX(Volcado_Dist!$A:$ZZ, MATCH($B29, Volcado_Dist!$A:$A, 0), MATCH(E$2, Volcado_Dist!$1:$1, 0)) / SUM(INDEX(Volcado_Dist!$A:$ZZ, 0, MATCH(E$2, Volcado_Dist!$1:$1, 0))), 0)</f>
        <v>1.0274134286532152E-3</v>
      </c>
      <c r="F29" s="16">
        <f>IFERROR(INDEX(Volcado_Dist!$A:$ZZ, MATCH($B29, Volcado_Dist!$A:$A, 0), MATCH(F$2, Volcado_Dist!$1:$1, 0)) / SUM(INDEX(Volcado_Dist!$A:$ZZ, 0, MATCH(F$2, Volcado_Dist!$1:$1, 0))), 0)</f>
        <v>2.3115540207863496E-3</v>
      </c>
      <c r="G29" s="16">
        <f>IFERROR(INDEX(Volcado_Dist!$A:$ZZ, MATCH($B29, Volcado_Dist!$A:$A, 0), MATCH(G$2, Volcado_Dist!$1:$1, 0)) / SUM(INDEX(Volcado_Dist!$A:$ZZ, 0, MATCH(G$2, Volcado_Dist!$1:$1, 0))), 0)</f>
        <v>0</v>
      </c>
      <c r="H29" s="16">
        <f>IFERROR(INDEX(Volcado_Dist!$A:$ZZ, MATCH($B29, Volcado_Dist!$A:$A, 0), MATCH(H$2, Volcado_Dist!$1:$1, 0)) / SUM(INDEX(Volcado_Dist!$A:$ZZ, 0, MATCH(H$2, Volcado_Dist!$1:$1, 0))), 0)</f>
        <v>0</v>
      </c>
      <c r="I29" s="16">
        <f>IFERROR(INDEX(Volcado_Dist!$A:$ZZ, MATCH($B29, Volcado_Dist!$A:$A, 0), MATCH(I$2, Volcado_Dist!$1:$1, 0)) / SUM(INDEX(Volcado_Dist!$A:$ZZ, 0, MATCH(I$2, Volcado_Dist!$1:$1, 0))), 0)</f>
        <v>0</v>
      </c>
      <c r="J29" s="16">
        <f>IFERROR(INDEX(Volcado_Dist!$A:$ZZ, MATCH($B29, Volcado_Dist!$A:$A, 0), MATCH(J$2, Volcado_Dist!$1:$1, 0)) / SUM(INDEX(Volcado_Dist!$A:$ZZ, 0, MATCH(J$2, Volcado_Dist!$1:$1, 0))), 0)</f>
        <v>0</v>
      </c>
      <c r="K29" s="16">
        <f>IFERROR(INDEX(Volcado_Dist!$A:$ZZ, MATCH($B29, Volcado_Dist!$A:$A, 0), MATCH(K$2, Volcado_Dist!$1:$1, 0)) / SUM(INDEX(Volcado_Dist!$A:$ZZ, 0, MATCH(K$2, Volcado_Dist!$1:$1, 0))), 0)</f>
        <v>3.3569942869591369E-3</v>
      </c>
      <c r="L29" s="16">
        <f>IFERROR(INDEX(Volcado_Dist!$A:$ZZ, MATCH($B29, Volcado_Dist!$A:$A, 0), MATCH(L$2, Volcado_Dist!$1:$1, 0)) / SUM(INDEX(Volcado_Dist!$A:$ZZ, 0, MATCH(L$2, Volcado_Dist!$1:$1, 0))), 0)</f>
        <v>0</v>
      </c>
      <c r="M29" s="16">
        <f>IFERROR(INDEX(Volcado_Dist!$A:$ZZ, MATCH($B29, Volcado_Dist!$A:$A, 0), MATCH(M$2, Volcado_Dist!$1:$1, 0)) / SUM(INDEX(Volcado_Dist!$A:$ZZ, 0, MATCH(M$2, Volcado_Dist!$1:$1, 0))), 0)</f>
        <v>0</v>
      </c>
      <c r="N29" s="16">
        <f>IFERROR(INDEX(Volcado_Dist!$A:$ZZ, MATCH($B29, Volcado_Dist!$A:$A, 0), MATCH(N$2, Volcado_Dist!$1:$1, 0)) / SUM(INDEX(Volcado_Dist!$A:$ZZ, 0, MATCH(N$2, Volcado_Dist!$1:$1, 0))), 0)</f>
        <v>0</v>
      </c>
      <c r="O29" s="16">
        <f>IFERROR(INDEX(Volcado_Dist!$A:$ZZ, MATCH($B29, Volcado_Dist!$A:$A, 0), MATCH(O$2, Volcado_Dist!$1:$1, 0)) / SUM(INDEX(Volcado_Dist!$A:$ZZ, 0, MATCH(O$2, Volcado_Dist!$1:$1, 0))), 0)</f>
        <v>-6.6048585559306695E-3</v>
      </c>
      <c r="P29" s="16">
        <f>IFERROR(INDEX(Volcado_Dist!$A:$ZZ, MATCH($B29, Volcado_Dist!$A:$A, 0), MATCH(P$2, Volcado_Dist!$1:$1, 0)) / SUM(INDEX(Volcado_Dist!$A:$ZZ, 0, MATCH(P$2, Volcado_Dist!$1:$1, 0))), 0)</f>
        <v>2.4235260723280061E-3</v>
      </c>
      <c r="Q29" s="16">
        <f>IFERROR(INDEX(Volcado_Dist!$A:$ZZ, MATCH($B29, Volcado_Dist!$A:$A, 0), MATCH(Q$2, Volcado_Dist!$1:$1, 0)) / SUM(INDEX(Volcado_Dist!$A:$ZZ, 0, MATCH(Q$2, Volcado_Dist!$1:$1, 0))), 0)</f>
        <v>0</v>
      </c>
      <c r="R29" s="16">
        <f>IFERROR(INDEX(Volcado_Dist!$A:$ZZ, MATCH($B29, Volcado_Dist!$A:$A, 0), MATCH(R$2, Volcado_Dist!$1:$1, 0)) / SUM(INDEX(Volcado_Dist!$A:$ZZ, 0, MATCH(R$2, Volcado_Dist!$1:$1, 0))), 0)</f>
        <v>0</v>
      </c>
      <c r="S29" s="16">
        <f>IFERROR(INDEX(Volcado_Dist!$A:$ZZ, MATCH($B29, Volcado_Dist!$A:$A, 0), MATCH(S$2, Volcado_Dist!$1:$1, 0)) / SUM(INDEX(Volcado_Dist!$A:$ZZ, 0, MATCH(S$2, Volcado_Dist!$1:$1, 0))), 0)</f>
        <v>2.2021879873375305E-4</v>
      </c>
      <c r="T29" s="16">
        <f>IFERROR(INDEX(Volcado_Dist!$A:$ZZ, MATCH($B29, Volcado_Dist!$A:$A, 0), MATCH(T$2, Volcado_Dist!$1:$1, 0)) / SUM(INDEX(Volcado_Dist!$A:$ZZ, 0, MATCH(T$2, Volcado_Dist!$1:$1, 0))), 0)</f>
        <v>6.2527909682522269E-5</v>
      </c>
      <c r="U29" s="16">
        <f>IFERROR(INDEX(Volcado_Dist!$A:$ZZ, MATCH($B29, Volcado_Dist!$A:$A, 0), MATCH(U$2, Volcado_Dist!$1:$1, 0)) / SUM(INDEX(Volcado_Dist!$A:$ZZ, 0, MATCH(U$2, Volcado_Dist!$1:$1, 0))), 0)</f>
        <v>0</v>
      </c>
      <c r="V29" s="16">
        <f>IFERROR(INDEX(Volcado_Dist!$A:$ZZ, MATCH($B29, Volcado_Dist!$A:$A, 0), MATCH(V$2, Volcado_Dist!$1:$1, 0)) / SUM(INDEX(Volcado_Dist!$A:$ZZ, 0, MATCH(V$2, Volcado_Dist!$1:$1, 0))), 0)</f>
        <v>1.0239454216203331E-3</v>
      </c>
      <c r="W29" s="16">
        <f t="shared" si="1"/>
        <v>3.4588946731155804E-4</v>
      </c>
      <c r="X29" s="17">
        <f>IFERROR(SUM(_xlfn.XLOOKUP($B29, Volcado_Vend!$A:$A, Volcado_Vend!$C:$ZZ, 0)) / SUM(Volcado_Vend!$C:$ZZ), 0)</f>
        <v>1.7909638942785304E-3</v>
      </c>
      <c r="Y29" s="24">
        <f t="shared" si="0"/>
        <v>1.0684266807950442E-3</v>
      </c>
    </row>
    <row r="30" spans="2:25" x14ac:dyDescent="0.25">
      <c r="B30" s="15" t="s">
        <v>54</v>
      </c>
      <c r="C30" s="16">
        <f>IFERROR(INDEX(Volcado_Dist!$A:$ZZ, MATCH($B30, Volcado_Dist!$A:$A, 0), MATCH(C$2, Volcado_Dist!$1:$1, 0)) / SUM(INDEX(Volcado_Dist!$A:$ZZ, 0, MATCH(C$2, Volcado_Dist!$1:$1, 0))), 0)</f>
        <v>2.3345069520093109E-3</v>
      </c>
      <c r="D30" s="16">
        <f>IFERROR(INDEX(Volcado_Dist!$A:$ZZ, MATCH($B30, Volcado_Dist!$A:$A, 0), MATCH(D$2, Volcado_Dist!$1:$1, 0)) / SUM(INDEX(Volcado_Dist!$A:$ZZ, 0, MATCH(D$2, Volcado_Dist!$1:$1, 0))), 0)</f>
        <v>0</v>
      </c>
      <c r="E30" s="16">
        <f>IFERROR(INDEX(Volcado_Dist!$A:$ZZ, MATCH($B30, Volcado_Dist!$A:$A, 0), MATCH(E$2, Volcado_Dist!$1:$1, 0)) / SUM(INDEX(Volcado_Dist!$A:$ZZ, 0, MATCH(E$2, Volcado_Dist!$1:$1, 0))), 0)</f>
        <v>-1.9533116808977303E-5</v>
      </c>
      <c r="F30" s="16">
        <f>IFERROR(INDEX(Volcado_Dist!$A:$ZZ, MATCH($B30, Volcado_Dist!$A:$A, 0), MATCH(F$2, Volcado_Dist!$1:$1, 0)) / SUM(INDEX(Volcado_Dist!$A:$ZZ, 0, MATCH(F$2, Volcado_Dist!$1:$1, 0))), 0)</f>
        <v>0</v>
      </c>
      <c r="G30" s="16">
        <f>IFERROR(INDEX(Volcado_Dist!$A:$ZZ, MATCH($B30, Volcado_Dist!$A:$A, 0), MATCH(G$2, Volcado_Dist!$1:$1, 0)) / SUM(INDEX(Volcado_Dist!$A:$ZZ, 0, MATCH(G$2, Volcado_Dist!$1:$1, 0))), 0)</f>
        <v>0</v>
      </c>
      <c r="H30" s="16">
        <f>IFERROR(INDEX(Volcado_Dist!$A:$ZZ, MATCH($B30, Volcado_Dist!$A:$A, 0), MATCH(H$2, Volcado_Dist!$1:$1, 0)) / SUM(INDEX(Volcado_Dist!$A:$ZZ, 0, MATCH(H$2, Volcado_Dist!$1:$1, 0))), 0)</f>
        <v>0</v>
      </c>
      <c r="I30" s="16">
        <f>IFERROR(INDEX(Volcado_Dist!$A:$ZZ, MATCH($B30, Volcado_Dist!$A:$A, 0), MATCH(I$2, Volcado_Dist!$1:$1, 0)) / SUM(INDEX(Volcado_Dist!$A:$ZZ, 0, MATCH(I$2, Volcado_Dist!$1:$1, 0))), 0)</f>
        <v>9.315567694363475E-3</v>
      </c>
      <c r="J30" s="16">
        <f>IFERROR(INDEX(Volcado_Dist!$A:$ZZ, MATCH($B30, Volcado_Dist!$A:$A, 0), MATCH(J$2, Volcado_Dist!$1:$1, 0)) / SUM(INDEX(Volcado_Dist!$A:$ZZ, 0, MATCH(J$2, Volcado_Dist!$1:$1, 0))), 0)</f>
        <v>0</v>
      </c>
      <c r="K30" s="16">
        <f>IFERROR(INDEX(Volcado_Dist!$A:$ZZ, MATCH($B30, Volcado_Dist!$A:$A, 0), MATCH(K$2, Volcado_Dist!$1:$1, 0)) / SUM(INDEX(Volcado_Dist!$A:$ZZ, 0, MATCH(K$2, Volcado_Dist!$1:$1, 0))), 0)</f>
        <v>8.9845935994063871E-4</v>
      </c>
      <c r="L30" s="16">
        <f>IFERROR(INDEX(Volcado_Dist!$A:$ZZ, MATCH($B30, Volcado_Dist!$A:$A, 0), MATCH(L$2, Volcado_Dist!$1:$1, 0)) / SUM(INDEX(Volcado_Dist!$A:$ZZ, 0, MATCH(L$2, Volcado_Dist!$1:$1, 0))), 0)</f>
        <v>2.4952398903298678E-3</v>
      </c>
      <c r="M30" s="16">
        <f>IFERROR(INDEX(Volcado_Dist!$A:$ZZ, MATCH($B30, Volcado_Dist!$A:$A, 0), MATCH(M$2, Volcado_Dist!$1:$1, 0)) / SUM(INDEX(Volcado_Dist!$A:$ZZ, 0, MATCH(M$2, Volcado_Dist!$1:$1, 0))), 0)</f>
        <v>4.5413314922082273E-3</v>
      </c>
      <c r="N30" s="16">
        <f>IFERROR(INDEX(Volcado_Dist!$A:$ZZ, MATCH($B30, Volcado_Dist!$A:$A, 0), MATCH(N$2, Volcado_Dist!$1:$1, 0)) / SUM(INDEX(Volcado_Dist!$A:$ZZ, 0, MATCH(N$2, Volcado_Dist!$1:$1, 0))), 0)</f>
        <v>0</v>
      </c>
      <c r="O30" s="16">
        <f>IFERROR(INDEX(Volcado_Dist!$A:$ZZ, MATCH($B30, Volcado_Dist!$A:$A, 0), MATCH(O$2, Volcado_Dist!$1:$1, 0)) / SUM(INDEX(Volcado_Dist!$A:$ZZ, 0, MATCH(O$2, Volcado_Dist!$1:$1, 0))), 0)</f>
        <v>7.5534454084787985E-4</v>
      </c>
      <c r="P30" s="16">
        <f>IFERROR(INDEX(Volcado_Dist!$A:$ZZ, MATCH($B30, Volcado_Dist!$A:$A, 0), MATCH(P$2, Volcado_Dist!$1:$1, 0)) / SUM(INDEX(Volcado_Dist!$A:$ZZ, 0, MATCH(P$2, Volcado_Dist!$1:$1, 0))), 0)</f>
        <v>-2.0985580601884705E-4</v>
      </c>
      <c r="Q30" s="16">
        <f>IFERROR(INDEX(Volcado_Dist!$A:$ZZ, MATCH($B30, Volcado_Dist!$A:$A, 0), MATCH(Q$2, Volcado_Dist!$1:$1, 0)) / SUM(INDEX(Volcado_Dist!$A:$ZZ, 0, MATCH(Q$2, Volcado_Dist!$1:$1, 0))), 0)</f>
        <v>-1.4530393677087662E-3</v>
      </c>
      <c r="R30" s="16">
        <f>IFERROR(INDEX(Volcado_Dist!$A:$ZZ, MATCH($B30, Volcado_Dist!$A:$A, 0), MATCH(R$2, Volcado_Dist!$1:$1, 0)) / SUM(INDEX(Volcado_Dist!$A:$ZZ, 0, MATCH(R$2, Volcado_Dist!$1:$1, 0))), 0)</f>
        <v>0</v>
      </c>
      <c r="S30" s="16">
        <f>IFERROR(INDEX(Volcado_Dist!$A:$ZZ, MATCH($B30, Volcado_Dist!$A:$A, 0), MATCH(S$2, Volcado_Dist!$1:$1, 0)) / SUM(INDEX(Volcado_Dist!$A:$ZZ, 0, MATCH(S$2, Volcado_Dist!$1:$1, 0))), 0)</f>
        <v>2.2501695437859064E-5</v>
      </c>
      <c r="T30" s="16">
        <f>IFERROR(INDEX(Volcado_Dist!$A:$ZZ, MATCH($B30, Volcado_Dist!$A:$A, 0), MATCH(T$2, Volcado_Dist!$1:$1, 0)) / SUM(INDEX(Volcado_Dist!$A:$ZZ, 0, MATCH(T$2, Volcado_Dist!$1:$1, 0))), 0)</f>
        <v>0</v>
      </c>
      <c r="U30" s="16">
        <f>IFERROR(INDEX(Volcado_Dist!$A:$ZZ, MATCH($B30, Volcado_Dist!$A:$A, 0), MATCH(U$2, Volcado_Dist!$1:$1, 0)) / SUM(INDEX(Volcado_Dist!$A:$ZZ, 0, MATCH(U$2, Volcado_Dist!$1:$1, 0))), 0)</f>
        <v>0</v>
      </c>
      <c r="V30" s="16">
        <f>IFERROR(INDEX(Volcado_Dist!$A:$ZZ, MATCH($B30, Volcado_Dist!$A:$A, 0), MATCH(V$2, Volcado_Dist!$1:$1, 0)) / SUM(INDEX(Volcado_Dist!$A:$ZZ, 0, MATCH(V$2, Volcado_Dist!$1:$1, 0))), 0)</f>
        <v>8.0567895087254617E-4</v>
      </c>
      <c r="W30" s="16">
        <f t="shared" si="1"/>
        <v>9.7431011427366056E-4</v>
      </c>
      <c r="X30" s="17">
        <f>IFERROR(SUM(_xlfn.XLOOKUP($B30, Volcado_Vend!$A:$A, Volcado_Vend!$C:$ZZ, 0)) / SUM(Volcado_Vend!$C:$ZZ), 0)</f>
        <v>4.5299077970297726E-3</v>
      </c>
      <c r="Y30" s="24">
        <f t="shared" si="0"/>
        <v>2.7521089556517167E-3</v>
      </c>
    </row>
    <row r="31" spans="2:25" x14ac:dyDescent="0.25">
      <c r="B31" s="15" t="s">
        <v>55</v>
      </c>
      <c r="C31" s="16">
        <f>IFERROR(INDEX(Volcado_Dist!$A:$ZZ, MATCH($B31, Volcado_Dist!$A:$A, 0), MATCH(C$2, Volcado_Dist!$1:$1, 0)) / SUM(INDEX(Volcado_Dist!$A:$ZZ, 0, MATCH(C$2, Volcado_Dist!$1:$1, 0))), 0)</f>
        <v>9.186380799902572E-4</v>
      </c>
      <c r="D31" s="16">
        <f>IFERROR(INDEX(Volcado_Dist!$A:$ZZ, MATCH($B31, Volcado_Dist!$A:$A, 0), MATCH(D$2, Volcado_Dist!$1:$1, 0)) / SUM(INDEX(Volcado_Dist!$A:$ZZ, 0, MATCH(D$2, Volcado_Dist!$1:$1, 0))), 0)</f>
        <v>3.2678244254193273E-3</v>
      </c>
      <c r="E31" s="16">
        <f>IFERROR(INDEX(Volcado_Dist!$A:$ZZ, MATCH($B31, Volcado_Dist!$A:$A, 0), MATCH(E$2, Volcado_Dist!$1:$1, 0)) / SUM(INDEX(Volcado_Dist!$A:$ZZ, 0, MATCH(E$2, Volcado_Dist!$1:$1, 0))), 0)</f>
        <v>1.4176480323478931E-3</v>
      </c>
      <c r="F31" s="16">
        <f>IFERROR(INDEX(Volcado_Dist!$A:$ZZ, MATCH($B31, Volcado_Dist!$A:$A, 0), MATCH(F$2, Volcado_Dist!$1:$1, 0)) / SUM(INDEX(Volcado_Dist!$A:$ZZ, 0, MATCH(F$2, Volcado_Dist!$1:$1, 0))), 0)</f>
        <v>2.2741545347404468E-3</v>
      </c>
      <c r="G31" s="16">
        <f>IFERROR(INDEX(Volcado_Dist!$A:$ZZ, MATCH($B31, Volcado_Dist!$A:$A, 0), MATCH(G$2, Volcado_Dist!$1:$1, 0)) / SUM(INDEX(Volcado_Dist!$A:$ZZ, 0, MATCH(G$2, Volcado_Dist!$1:$1, 0))), 0)</f>
        <v>0</v>
      </c>
      <c r="H31" s="16">
        <f>IFERROR(INDEX(Volcado_Dist!$A:$ZZ, MATCH($B31, Volcado_Dist!$A:$A, 0), MATCH(H$2, Volcado_Dist!$1:$1, 0)) / SUM(INDEX(Volcado_Dist!$A:$ZZ, 0, MATCH(H$2, Volcado_Dist!$1:$1, 0))), 0)</f>
        <v>0</v>
      </c>
      <c r="I31" s="16">
        <f>IFERROR(INDEX(Volcado_Dist!$A:$ZZ, MATCH($B31, Volcado_Dist!$A:$A, 0), MATCH(I$2, Volcado_Dist!$1:$1, 0)) / SUM(INDEX(Volcado_Dist!$A:$ZZ, 0, MATCH(I$2, Volcado_Dist!$1:$1, 0))), 0)</f>
        <v>8.7356548619605388E-4</v>
      </c>
      <c r="J31" s="16">
        <f>IFERROR(INDEX(Volcado_Dist!$A:$ZZ, MATCH($B31, Volcado_Dist!$A:$A, 0), MATCH(J$2, Volcado_Dist!$1:$1, 0)) / SUM(INDEX(Volcado_Dist!$A:$ZZ, 0, MATCH(J$2, Volcado_Dist!$1:$1, 0))), 0)</f>
        <v>0</v>
      </c>
      <c r="K31" s="16">
        <f>IFERROR(INDEX(Volcado_Dist!$A:$ZZ, MATCH($B31, Volcado_Dist!$A:$A, 0), MATCH(K$2, Volcado_Dist!$1:$1, 0)) / SUM(INDEX(Volcado_Dist!$A:$ZZ, 0, MATCH(K$2, Volcado_Dist!$1:$1, 0))), 0)</f>
        <v>7.3384459927766448E-4</v>
      </c>
      <c r="L31" s="16">
        <f>IFERROR(INDEX(Volcado_Dist!$A:$ZZ, MATCH($B31, Volcado_Dist!$A:$A, 0), MATCH(L$2, Volcado_Dist!$1:$1, 0)) / SUM(INDEX(Volcado_Dist!$A:$ZZ, 0, MATCH(L$2, Volcado_Dist!$1:$1, 0))), 0)</f>
        <v>1.9638179308226504E-3</v>
      </c>
      <c r="M31" s="16">
        <f>IFERROR(INDEX(Volcado_Dist!$A:$ZZ, MATCH($B31, Volcado_Dist!$A:$A, 0), MATCH(M$2, Volcado_Dist!$1:$1, 0)) / SUM(INDEX(Volcado_Dist!$A:$ZZ, 0, MATCH(M$2, Volcado_Dist!$1:$1, 0))), 0)</f>
        <v>9.3938282903640574E-3</v>
      </c>
      <c r="N31" s="16">
        <f>IFERROR(INDEX(Volcado_Dist!$A:$ZZ, MATCH($B31, Volcado_Dist!$A:$A, 0), MATCH(N$2, Volcado_Dist!$1:$1, 0)) / SUM(INDEX(Volcado_Dist!$A:$ZZ, 0, MATCH(N$2, Volcado_Dist!$1:$1, 0))), 0)</f>
        <v>0</v>
      </c>
      <c r="O31" s="16">
        <f>IFERROR(INDEX(Volcado_Dist!$A:$ZZ, MATCH($B31, Volcado_Dist!$A:$A, 0), MATCH(O$2, Volcado_Dist!$1:$1, 0)) / SUM(INDEX(Volcado_Dist!$A:$ZZ, 0, MATCH(O$2, Volcado_Dist!$1:$1, 0))), 0)</f>
        <v>9.5173412146832854E-4</v>
      </c>
      <c r="P31" s="16">
        <f>IFERROR(INDEX(Volcado_Dist!$A:$ZZ, MATCH($B31, Volcado_Dist!$A:$A, 0), MATCH(P$2, Volcado_Dist!$1:$1, 0)) / SUM(INDEX(Volcado_Dist!$A:$ZZ, 0, MATCH(P$2, Volcado_Dist!$1:$1, 0))), 0)</f>
        <v>7.5801685186543141E-4</v>
      </c>
      <c r="Q31" s="16">
        <f>IFERROR(INDEX(Volcado_Dist!$A:$ZZ, MATCH($B31, Volcado_Dist!$A:$A, 0), MATCH(Q$2, Volcado_Dist!$1:$1, 0)) / SUM(INDEX(Volcado_Dist!$A:$ZZ, 0, MATCH(Q$2, Volcado_Dist!$1:$1, 0))), 0)</f>
        <v>5.27655232547694E-3</v>
      </c>
      <c r="R31" s="16">
        <f>IFERROR(INDEX(Volcado_Dist!$A:$ZZ, MATCH($B31, Volcado_Dist!$A:$A, 0), MATCH(R$2, Volcado_Dist!$1:$1, 0)) / SUM(INDEX(Volcado_Dist!$A:$ZZ, 0, MATCH(R$2, Volcado_Dist!$1:$1, 0))), 0)</f>
        <v>0</v>
      </c>
      <c r="S31" s="16">
        <f>IFERROR(INDEX(Volcado_Dist!$A:$ZZ, MATCH($B31, Volcado_Dist!$A:$A, 0), MATCH(S$2, Volcado_Dist!$1:$1, 0)) / SUM(INDEX(Volcado_Dist!$A:$ZZ, 0, MATCH(S$2, Volcado_Dist!$1:$1, 0))), 0)</f>
        <v>6.4948827530379228E-4</v>
      </c>
      <c r="T31" s="16">
        <f>IFERROR(INDEX(Volcado_Dist!$A:$ZZ, MATCH($B31, Volcado_Dist!$A:$A, 0), MATCH(T$2, Volcado_Dist!$1:$1, 0)) / SUM(INDEX(Volcado_Dist!$A:$ZZ, 0, MATCH(T$2, Volcado_Dist!$1:$1, 0))), 0)</f>
        <v>1.5221178567252998E-5</v>
      </c>
      <c r="U31" s="16">
        <f>IFERROR(INDEX(Volcado_Dist!$A:$ZZ, MATCH($B31, Volcado_Dist!$A:$A, 0), MATCH(U$2, Volcado_Dist!$1:$1, 0)) / SUM(INDEX(Volcado_Dist!$A:$ZZ, 0, MATCH(U$2, Volcado_Dist!$1:$1, 0))), 0)</f>
        <v>4.564653773396995E-3</v>
      </c>
      <c r="V31" s="16">
        <f>IFERROR(INDEX(Volcado_Dist!$A:$ZZ, MATCH($B31, Volcado_Dist!$A:$A, 0), MATCH(V$2, Volcado_Dist!$1:$1, 0)) / SUM(INDEX(Volcado_Dist!$A:$ZZ, 0, MATCH(V$2, Volcado_Dist!$1:$1, 0))), 0)</f>
        <v>4.6615552543861878E-3</v>
      </c>
      <c r="W31" s="16">
        <f t="shared" si="1"/>
        <v>1.8860271579811641E-3</v>
      </c>
      <c r="X31" s="17">
        <f>IFERROR(SUM(_xlfn.XLOOKUP($B31, Volcado_Vend!$A:$A, Volcado_Vend!$C:$ZZ, 0)) / SUM(Volcado_Vend!$C:$ZZ), 0)</f>
        <v>5.6567905772120369E-3</v>
      </c>
      <c r="Y31" s="24">
        <f t="shared" si="0"/>
        <v>3.7714088675966004E-3</v>
      </c>
    </row>
    <row r="32" spans="2:25" x14ac:dyDescent="0.25">
      <c r="B32" s="15" t="s">
        <v>56</v>
      </c>
      <c r="C32" s="16">
        <f>IFERROR(INDEX(Volcado_Dist!$A:$ZZ, MATCH($B32, Volcado_Dist!$A:$A, 0), MATCH(C$2, Volcado_Dist!$1:$1, 0)) / SUM(INDEX(Volcado_Dist!$A:$ZZ, 0, MATCH(C$2, Volcado_Dist!$1:$1, 0))), 0)</f>
        <v>3.539485881511842E-3</v>
      </c>
      <c r="D32" s="16">
        <f>IFERROR(INDEX(Volcado_Dist!$A:$ZZ, MATCH($B32, Volcado_Dist!$A:$A, 0), MATCH(D$2, Volcado_Dist!$1:$1, 0)) / SUM(INDEX(Volcado_Dist!$A:$ZZ, 0, MATCH(D$2, Volcado_Dist!$1:$1, 0))), 0)</f>
        <v>0</v>
      </c>
      <c r="E32" s="16">
        <f>IFERROR(INDEX(Volcado_Dist!$A:$ZZ, MATCH($B32, Volcado_Dist!$A:$A, 0), MATCH(E$2, Volcado_Dist!$1:$1, 0)) / SUM(INDEX(Volcado_Dist!$A:$ZZ, 0, MATCH(E$2, Volcado_Dist!$1:$1, 0))), 0)</f>
        <v>4.6048253545951821E-3</v>
      </c>
      <c r="F32" s="16">
        <f>IFERROR(INDEX(Volcado_Dist!$A:$ZZ, MATCH($B32, Volcado_Dist!$A:$A, 0), MATCH(F$2, Volcado_Dist!$1:$1, 0)) / SUM(INDEX(Volcado_Dist!$A:$ZZ, 0, MATCH(F$2, Volcado_Dist!$1:$1, 0))), 0)</f>
        <v>1.1577685348742584E-2</v>
      </c>
      <c r="G32" s="16">
        <f>IFERROR(INDEX(Volcado_Dist!$A:$ZZ, MATCH($B32, Volcado_Dist!$A:$A, 0), MATCH(G$2, Volcado_Dist!$1:$1, 0)) / SUM(INDEX(Volcado_Dist!$A:$ZZ, 0, MATCH(G$2, Volcado_Dist!$1:$1, 0))), 0)</f>
        <v>-1.91523296186045E-3</v>
      </c>
      <c r="H32" s="16">
        <f>IFERROR(INDEX(Volcado_Dist!$A:$ZZ, MATCH($B32, Volcado_Dist!$A:$A, 0), MATCH(H$2, Volcado_Dist!$1:$1, 0)) / SUM(INDEX(Volcado_Dist!$A:$ZZ, 0, MATCH(H$2, Volcado_Dist!$1:$1, 0))), 0)</f>
        <v>0</v>
      </c>
      <c r="I32" s="16">
        <f>IFERROR(INDEX(Volcado_Dist!$A:$ZZ, MATCH($B32, Volcado_Dist!$A:$A, 0), MATCH(I$2, Volcado_Dist!$1:$1, 0)) / SUM(INDEX(Volcado_Dist!$A:$ZZ, 0, MATCH(I$2, Volcado_Dist!$1:$1, 0))), 0)</f>
        <v>3.1118857745236544E-3</v>
      </c>
      <c r="J32" s="16">
        <f>IFERROR(INDEX(Volcado_Dist!$A:$ZZ, MATCH($B32, Volcado_Dist!$A:$A, 0), MATCH(J$2, Volcado_Dist!$1:$1, 0)) / SUM(INDEX(Volcado_Dist!$A:$ZZ, 0, MATCH(J$2, Volcado_Dist!$1:$1, 0))), 0)</f>
        <v>0</v>
      </c>
      <c r="K32" s="16">
        <f>IFERROR(INDEX(Volcado_Dist!$A:$ZZ, MATCH($B32, Volcado_Dist!$A:$A, 0), MATCH(K$2, Volcado_Dist!$1:$1, 0)) / SUM(INDEX(Volcado_Dist!$A:$ZZ, 0, MATCH(K$2, Volcado_Dist!$1:$1, 0))), 0)</f>
        <v>1.3549285847388738E-2</v>
      </c>
      <c r="L32" s="16">
        <f>IFERROR(INDEX(Volcado_Dist!$A:$ZZ, MATCH($B32, Volcado_Dist!$A:$A, 0), MATCH(L$2, Volcado_Dist!$1:$1, 0)) / SUM(INDEX(Volcado_Dist!$A:$ZZ, 0, MATCH(L$2, Volcado_Dist!$1:$1, 0))), 0)</f>
        <v>2.6822216908972221E-3</v>
      </c>
      <c r="M32" s="16">
        <f>IFERROR(INDEX(Volcado_Dist!$A:$ZZ, MATCH($B32, Volcado_Dist!$A:$A, 0), MATCH(M$2, Volcado_Dist!$1:$1, 0)) / SUM(INDEX(Volcado_Dist!$A:$ZZ, 0, MATCH(M$2, Volcado_Dist!$1:$1, 0))), 0)</f>
        <v>3.1865009303661054E-2</v>
      </c>
      <c r="N32" s="16">
        <f>IFERROR(INDEX(Volcado_Dist!$A:$ZZ, MATCH($B32, Volcado_Dist!$A:$A, 0), MATCH(N$2, Volcado_Dist!$1:$1, 0)) / SUM(INDEX(Volcado_Dist!$A:$ZZ, 0, MATCH(N$2, Volcado_Dist!$1:$1, 0))), 0)</f>
        <v>0</v>
      </c>
      <c r="O32" s="16">
        <f>IFERROR(INDEX(Volcado_Dist!$A:$ZZ, MATCH($B32, Volcado_Dist!$A:$A, 0), MATCH(O$2, Volcado_Dist!$1:$1, 0)) / SUM(INDEX(Volcado_Dist!$A:$ZZ, 0, MATCH(O$2, Volcado_Dist!$1:$1, 0))), 0)</f>
        <v>0</v>
      </c>
      <c r="P32" s="16">
        <f>IFERROR(INDEX(Volcado_Dist!$A:$ZZ, MATCH($B32, Volcado_Dist!$A:$A, 0), MATCH(P$2, Volcado_Dist!$1:$1, 0)) / SUM(INDEX(Volcado_Dist!$A:$ZZ, 0, MATCH(P$2, Volcado_Dist!$1:$1, 0))), 0)</f>
        <v>5.1409178867130095E-3</v>
      </c>
      <c r="Q32" s="16">
        <f>IFERROR(INDEX(Volcado_Dist!$A:$ZZ, MATCH($B32, Volcado_Dist!$A:$A, 0), MATCH(Q$2, Volcado_Dist!$1:$1, 0)) / SUM(INDEX(Volcado_Dist!$A:$ZZ, 0, MATCH(Q$2, Volcado_Dist!$1:$1, 0))), 0)</f>
        <v>4.2834389693914668E-4</v>
      </c>
      <c r="R32" s="16">
        <f>IFERROR(INDEX(Volcado_Dist!$A:$ZZ, MATCH($B32, Volcado_Dist!$A:$A, 0), MATCH(R$2, Volcado_Dist!$1:$1, 0)) / SUM(INDEX(Volcado_Dist!$A:$ZZ, 0, MATCH(R$2, Volcado_Dist!$1:$1, 0))), 0)</f>
        <v>0</v>
      </c>
      <c r="S32" s="16">
        <f>IFERROR(INDEX(Volcado_Dist!$A:$ZZ, MATCH($B32, Volcado_Dist!$A:$A, 0), MATCH(S$2, Volcado_Dist!$1:$1, 0)) / SUM(INDEX(Volcado_Dist!$A:$ZZ, 0, MATCH(S$2, Volcado_Dist!$1:$1, 0))), 0)</f>
        <v>2.1757154044694609E-3</v>
      </c>
      <c r="T32" s="16">
        <f>IFERROR(INDEX(Volcado_Dist!$A:$ZZ, MATCH($B32, Volcado_Dist!$A:$A, 0), MATCH(T$2, Volcado_Dist!$1:$1, 0)) / SUM(INDEX(Volcado_Dist!$A:$ZZ, 0, MATCH(T$2, Volcado_Dist!$1:$1, 0))), 0)</f>
        <v>1.7251476226598617E-2</v>
      </c>
      <c r="U32" s="16">
        <f>IFERROR(INDEX(Volcado_Dist!$A:$ZZ, MATCH($B32, Volcado_Dist!$A:$A, 0), MATCH(U$2, Volcado_Dist!$1:$1, 0)) / SUM(INDEX(Volcado_Dist!$A:$ZZ, 0, MATCH(U$2, Volcado_Dist!$1:$1, 0))), 0)</f>
        <v>7.8571422512488769E-3</v>
      </c>
      <c r="V32" s="16">
        <f>IFERROR(INDEX(Volcado_Dist!$A:$ZZ, MATCH($B32, Volcado_Dist!$A:$A, 0), MATCH(V$2, Volcado_Dist!$1:$1, 0)) / SUM(INDEX(Volcado_Dist!$A:$ZZ, 0, MATCH(V$2, Volcado_Dist!$1:$1, 0))), 0)</f>
        <v>1.6175333903923249E-2</v>
      </c>
      <c r="W32" s="16">
        <f t="shared" si="1"/>
        <v>5.9022047904676092E-3</v>
      </c>
      <c r="X32" s="17">
        <f>IFERROR(SUM(_xlfn.XLOOKUP($B32, Volcado_Vend!$A:$A, Volcado_Vend!$C:$ZZ, 0)) / SUM(Volcado_Vend!$C:$ZZ), 0)</f>
        <v>6.2915386069857951E-3</v>
      </c>
      <c r="Y32" s="24">
        <f t="shared" si="0"/>
        <v>6.0968716987267017E-3</v>
      </c>
    </row>
    <row r="33" spans="2:25" x14ac:dyDescent="0.25">
      <c r="B33" s="15" t="s">
        <v>57</v>
      </c>
      <c r="C33" s="16">
        <f>IFERROR(INDEX(Volcado_Dist!$A:$ZZ, MATCH($B33, Volcado_Dist!$A:$A, 0), MATCH(C$2, Volcado_Dist!$1:$1, 0)) / SUM(INDEX(Volcado_Dist!$A:$ZZ, 0, MATCH(C$2, Volcado_Dist!$1:$1, 0))), 0)</f>
        <v>0</v>
      </c>
      <c r="D33" s="16">
        <f>IFERROR(INDEX(Volcado_Dist!$A:$ZZ, MATCH($B33, Volcado_Dist!$A:$A, 0), MATCH(D$2, Volcado_Dist!$1:$1, 0)) / SUM(INDEX(Volcado_Dist!$A:$ZZ, 0, MATCH(D$2, Volcado_Dist!$1:$1, 0))), 0)</f>
        <v>0</v>
      </c>
      <c r="E33" s="16">
        <f>IFERROR(INDEX(Volcado_Dist!$A:$ZZ, MATCH($B33, Volcado_Dist!$A:$A, 0), MATCH(E$2, Volcado_Dist!$1:$1, 0)) / SUM(INDEX(Volcado_Dist!$A:$ZZ, 0, MATCH(E$2, Volcado_Dist!$1:$1, 0))), 0)</f>
        <v>0</v>
      </c>
      <c r="F33" s="16">
        <f>IFERROR(INDEX(Volcado_Dist!$A:$ZZ, MATCH($B33, Volcado_Dist!$A:$A, 0), MATCH(F$2, Volcado_Dist!$1:$1, 0)) / SUM(INDEX(Volcado_Dist!$A:$ZZ, 0, MATCH(F$2, Volcado_Dist!$1:$1, 0))), 0)</f>
        <v>0</v>
      </c>
      <c r="G33" s="16">
        <f>IFERROR(INDEX(Volcado_Dist!$A:$ZZ, MATCH($B33, Volcado_Dist!$A:$A, 0), MATCH(G$2, Volcado_Dist!$1:$1, 0)) / SUM(INDEX(Volcado_Dist!$A:$ZZ, 0, MATCH(G$2, Volcado_Dist!$1:$1, 0))), 0)</f>
        <v>0</v>
      </c>
      <c r="H33" s="16">
        <f>IFERROR(INDEX(Volcado_Dist!$A:$ZZ, MATCH($B33, Volcado_Dist!$A:$A, 0), MATCH(H$2, Volcado_Dist!$1:$1, 0)) / SUM(INDEX(Volcado_Dist!$A:$ZZ, 0, MATCH(H$2, Volcado_Dist!$1:$1, 0))), 0)</f>
        <v>0</v>
      </c>
      <c r="I33" s="16">
        <f>IFERROR(INDEX(Volcado_Dist!$A:$ZZ, MATCH($B33, Volcado_Dist!$A:$A, 0), MATCH(I$2, Volcado_Dist!$1:$1, 0)) / SUM(INDEX(Volcado_Dist!$A:$ZZ, 0, MATCH(I$2, Volcado_Dist!$1:$1, 0))), 0)</f>
        <v>0</v>
      </c>
      <c r="J33" s="16">
        <f>IFERROR(INDEX(Volcado_Dist!$A:$ZZ, MATCH($B33, Volcado_Dist!$A:$A, 0), MATCH(J$2, Volcado_Dist!$1:$1, 0)) / SUM(INDEX(Volcado_Dist!$A:$ZZ, 0, MATCH(J$2, Volcado_Dist!$1:$1, 0))), 0)</f>
        <v>0</v>
      </c>
      <c r="K33" s="16">
        <f>IFERROR(INDEX(Volcado_Dist!$A:$ZZ, MATCH($B33, Volcado_Dist!$A:$A, 0), MATCH(K$2, Volcado_Dist!$1:$1, 0)) / SUM(INDEX(Volcado_Dist!$A:$ZZ, 0, MATCH(K$2, Volcado_Dist!$1:$1, 0))), 0)</f>
        <v>1.408912166705266E-4</v>
      </c>
      <c r="L33" s="16">
        <f>IFERROR(INDEX(Volcado_Dist!$A:$ZZ, MATCH($B33, Volcado_Dist!$A:$A, 0), MATCH(L$2, Volcado_Dist!$1:$1, 0)) / SUM(INDEX(Volcado_Dist!$A:$ZZ, 0, MATCH(L$2, Volcado_Dist!$1:$1, 0))), 0)</f>
        <v>0</v>
      </c>
      <c r="M33" s="16">
        <f>IFERROR(INDEX(Volcado_Dist!$A:$ZZ, MATCH($B33, Volcado_Dist!$A:$A, 0), MATCH(M$2, Volcado_Dist!$1:$1, 0)) / SUM(INDEX(Volcado_Dist!$A:$ZZ, 0, MATCH(M$2, Volcado_Dist!$1:$1, 0))), 0)</f>
        <v>0</v>
      </c>
      <c r="N33" s="16">
        <f>IFERROR(INDEX(Volcado_Dist!$A:$ZZ, MATCH($B33, Volcado_Dist!$A:$A, 0), MATCH(N$2, Volcado_Dist!$1:$1, 0)) / SUM(INDEX(Volcado_Dist!$A:$ZZ, 0, MATCH(N$2, Volcado_Dist!$1:$1, 0))), 0)</f>
        <v>0</v>
      </c>
      <c r="O33" s="16">
        <f>IFERROR(INDEX(Volcado_Dist!$A:$ZZ, MATCH($B33, Volcado_Dist!$A:$A, 0), MATCH(O$2, Volcado_Dist!$1:$1, 0)) / SUM(INDEX(Volcado_Dist!$A:$ZZ, 0, MATCH(O$2, Volcado_Dist!$1:$1, 0))), 0)</f>
        <v>0</v>
      </c>
      <c r="P33" s="16">
        <f>IFERROR(INDEX(Volcado_Dist!$A:$ZZ, MATCH($B33, Volcado_Dist!$A:$A, 0), MATCH(P$2, Volcado_Dist!$1:$1, 0)) / SUM(INDEX(Volcado_Dist!$A:$ZZ, 0, MATCH(P$2, Volcado_Dist!$1:$1, 0))), 0)</f>
        <v>0</v>
      </c>
      <c r="Q33" s="16">
        <f>IFERROR(INDEX(Volcado_Dist!$A:$ZZ, MATCH($B33, Volcado_Dist!$A:$A, 0), MATCH(Q$2, Volcado_Dist!$1:$1, 0)) / SUM(INDEX(Volcado_Dist!$A:$ZZ, 0, MATCH(Q$2, Volcado_Dist!$1:$1, 0))), 0)</f>
        <v>0</v>
      </c>
      <c r="R33" s="16">
        <f>IFERROR(INDEX(Volcado_Dist!$A:$ZZ, MATCH($B33, Volcado_Dist!$A:$A, 0), MATCH(R$2, Volcado_Dist!$1:$1, 0)) / SUM(INDEX(Volcado_Dist!$A:$ZZ, 0, MATCH(R$2, Volcado_Dist!$1:$1, 0))), 0)</f>
        <v>0</v>
      </c>
      <c r="S33" s="16">
        <f>IFERROR(INDEX(Volcado_Dist!$A:$ZZ, MATCH($B33, Volcado_Dist!$A:$A, 0), MATCH(S$2, Volcado_Dist!$1:$1, 0)) / SUM(INDEX(Volcado_Dist!$A:$ZZ, 0, MATCH(S$2, Volcado_Dist!$1:$1, 0))), 0)</f>
        <v>0</v>
      </c>
      <c r="T33" s="16">
        <f>IFERROR(INDEX(Volcado_Dist!$A:$ZZ, MATCH($B33, Volcado_Dist!$A:$A, 0), MATCH(T$2, Volcado_Dist!$1:$1, 0)) / SUM(INDEX(Volcado_Dist!$A:$ZZ, 0, MATCH(T$2, Volcado_Dist!$1:$1, 0))), 0)</f>
        <v>0</v>
      </c>
      <c r="U33" s="16">
        <f>IFERROR(INDEX(Volcado_Dist!$A:$ZZ, MATCH($B33, Volcado_Dist!$A:$A, 0), MATCH(U$2, Volcado_Dist!$1:$1, 0)) / SUM(INDEX(Volcado_Dist!$A:$ZZ, 0, MATCH(U$2, Volcado_Dist!$1:$1, 0))), 0)</f>
        <v>0</v>
      </c>
      <c r="V33" s="16">
        <f>IFERROR(INDEX(Volcado_Dist!$A:$ZZ, MATCH($B33, Volcado_Dist!$A:$A, 0), MATCH(V$2, Volcado_Dist!$1:$1, 0)) / SUM(INDEX(Volcado_Dist!$A:$ZZ, 0, MATCH(V$2, Volcado_Dist!$1:$1, 0))), 0)</f>
        <v>0</v>
      </c>
      <c r="W33" s="16">
        <f t="shared" si="1"/>
        <v>7.0445608335263302E-6</v>
      </c>
      <c r="X33" s="17">
        <f>IFERROR(SUM(_xlfn.XLOOKUP($B33, Volcado_Vend!$A:$A, Volcado_Vend!$C:$ZZ, 0)) / SUM(Volcado_Vend!$C:$ZZ), 0)</f>
        <v>0</v>
      </c>
      <c r="Y33" s="24">
        <f t="shared" si="0"/>
        <v>3.5222804167631651E-6</v>
      </c>
    </row>
    <row r="34" spans="2:25" x14ac:dyDescent="0.25">
      <c r="B34" s="15" t="s">
        <v>58</v>
      </c>
      <c r="C34" s="16">
        <f>IFERROR(INDEX(Volcado_Dist!$A:$ZZ, MATCH($B34, Volcado_Dist!$A:$A, 0), MATCH(C$2, Volcado_Dist!$1:$1, 0)) / SUM(INDEX(Volcado_Dist!$A:$ZZ, 0, MATCH(C$2, Volcado_Dist!$1:$1, 0))), 0)</f>
        <v>2.1758364890752807E-2</v>
      </c>
      <c r="D34" s="16">
        <f>IFERROR(INDEX(Volcado_Dist!$A:$ZZ, MATCH($B34, Volcado_Dist!$A:$A, 0), MATCH(D$2, Volcado_Dist!$1:$1, 0)) / SUM(INDEX(Volcado_Dist!$A:$ZZ, 0, MATCH(D$2, Volcado_Dist!$1:$1, 0))), 0)</f>
        <v>0</v>
      </c>
      <c r="E34" s="16">
        <f>IFERROR(INDEX(Volcado_Dist!$A:$ZZ, MATCH($B34, Volcado_Dist!$A:$A, 0), MATCH(E$2, Volcado_Dist!$1:$1, 0)) / SUM(INDEX(Volcado_Dist!$A:$ZZ, 0, MATCH(E$2, Volcado_Dist!$1:$1, 0))), 0)</f>
        <v>1.7448063522740198E-2</v>
      </c>
      <c r="F34" s="16">
        <f>IFERROR(INDEX(Volcado_Dist!$A:$ZZ, MATCH($B34, Volcado_Dist!$A:$A, 0), MATCH(F$2, Volcado_Dist!$1:$1, 0)) / SUM(INDEX(Volcado_Dist!$A:$ZZ, 0, MATCH(F$2, Volcado_Dist!$1:$1, 0))), 0)</f>
        <v>1.6815245569983553E-2</v>
      </c>
      <c r="G34" s="16">
        <f>IFERROR(INDEX(Volcado_Dist!$A:$ZZ, MATCH($B34, Volcado_Dist!$A:$A, 0), MATCH(G$2, Volcado_Dist!$1:$1, 0)) / SUM(INDEX(Volcado_Dist!$A:$ZZ, 0, MATCH(G$2, Volcado_Dist!$1:$1, 0))), 0)</f>
        <v>9.5414999593138265E-3</v>
      </c>
      <c r="H34" s="16">
        <f>IFERROR(INDEX(Volcado_Dist!$A:$ZZ, MATCH($B34, Volcado_Dist!$A:$A, 0), MATCH(H$2, Volcado_Dist!$1:$1, 0)) / SUM(INDEX(Volcado_Dist!$A:$ZZ, 0, MATCH(H$2, Volcado_Dist!$1:$1, 0))), 0)</f>
        <v>0</v>
      </c>
      <c r="I34" s="16">
        <f>IFERROR(INDEX(Volcado_Dist!$A:$ZZ, MATCH($B34, Volcado_Dist!$A:$A, 0), MATCH(I$2, Volcado_Dist!$1:$1, 0)) / SUM(INDEX(Volcado_Dist!$A:$ZZ, 0, MATCH(I$2, Volcado_Dist!$1:$1, 0))), 0)</f>
        <v>1.7685017828443065E-2</v>
      </c>
      <c r="J34" s="16">
        <f>IFERROR(INDEX(Volcado_Dist!$A:$ZZ, MATCH($B34, Volcado_Dist!$A:$A, 0), MATCH(J$2, Volcado_Dist!$1:$1, 0)) / SUM(INDEX(Volcado_Dist!$A:$ZZ, 0, MATCH(J$2, Volcado_Dist!$1:$1, 0))), 0)</f>
        <v>0</v>
      </c>
      <c r="K34" s="16">
        <f>IFERROR(INDEX(Volcado_Dist!$A:$ZZ, MATCH($B34, Volcado_Dist!$A:$A, 0), MATCH(K$2, Volcado_Dist!$1:$1, 0)) / SUM(INDEX(Volcado_Dist!$A:$ZZ, 0, MATCH(K$2, Volcado_Dist!$1:$1, 0))), 0)</f>
        <v>3.6846427889881614E-2</v>
      </c>
      <c r="L34" s="16">
        <f>IFERROR(INDEX(Volcado_Dist!$A:$ZZ, MATCH($B34, Volcado_Dist!$A:$A, 0), MATCH(L$2, Volcado_Dist!$1:$1, 0)) / SUM(INDEX(Volcado_Dist!$A:$ZZ, 0, MATCH(L$2, Volcado_Dist!$1:$1, 0))), 0)</f>
        <v>4.954710537258962E-2</v>
      </c>
      <c r="M34" s="16">
        <f>IFERROR(INDEX(Volcado_Dist!$A:$ZZ, MATCH($B34, Volcado_Dist!$A:$A, 0), MATCH(M$2, Volcado_Dist!$1:$1, 0)) / SUM(INDEX(Volcado_Dist!$A:$ZZ, 0, MATCH(M$2, Volcado_Dist!$1:$1, 0))), 0)</f>
        <v>2.3874981338034149E-2</v>
      </c>
      <c r="N34" s="16">
        <f>IFERROR(INDEX(Volcado_Dist!$A:$ZZ, MATCH($B34, Volcado_Dist!$A:$A, 0), MATCH(N$2, Volcado_Dist!$1:$1, 0)) / SUM(INDEX(Volcado_Dist!$A:$ZZ, 0, MATCH(N$2, Volcado_Dist!$1:$1, 0))), 0)</f>
        <v>0</v>
      </c>
      <c r="O34" s="16">
        <f>IFERROR(INDEX(Volcado_Dist!$A:$ZZ, MATCH($B34, Volcado_Dist!$A:$A, 0), MATCH(O$2, Volcado_Dist!$1:$1, 0)) / SUM(INDEX(Volcado_Dist!$A:$ZZ, 0, MATCH(O$2, Volcado_Dist!$1:$1, 0))), 0)</f>
        <v>4.5935019344095725E-2</v>
      </c>
      <c r="P34" s="16">
        <f>IFERROR(INDEX(Volcado_Dist!$A:$ZZ, MATCH($B34, Volcado_Dist!$A:$A, 0), MATCH(P$2, Volcado_Dist!$1:$1, 0)) / SUM(INDEX(Volcado_Dist!$A:$ZZ, 0, MATCH(P$2, Volcado_Dist!$1:$1, 0))), 0)</f>
        <v>3.5076075723450971E-2</v>
      </c>
      <c r="Q34" s="16">
        <f>IFERROR(INDEX(Volcado_Dist!$A:$ZZ, MATCH($B34, Volcado_Dist!$A:$A, 0), MATCH(Q$2, Volcado_Dist!$1:$1, 0)) / SUM(INDEX(Volcado_Dist!$A:$ZZ, 0, MATCH(Q$2, Volcado_Dist!$1:$1, 0))), 0)</f>
        <v>-3.2911315469379746E-3</v>
      </c>
      <c r="R34" s="16">
        <f>IFERROR(INDEX(Volcado_Dist!$A:$ZZ, MATCH($B34, Volcado_Dist!$A:$A, 0), MATCH(R$2, Volcado_Dist!$1:$1, 0)) / SUM(INDEX(Volcado_Dist!$A:$ZZ, 0, MATCH(R$2, Volcado_Dist!$1:$1, 0))), 0)</f>
        <v>0</v>
      </c>
      <c r="S34" s="16">
        <f>IFERROR(INDEX(Volcado_Dist!$A:$ZZ, MATCH($B34, Volcado_Dist!$A:$A, 0), MATCH(S$2, Volcado_Dist!$1:$1, 0)) / SUM(INDEX(Volcado_Dist!$A:$ZZ, 0, MATCH(S$2, Volcado_Dist!$1:$1, 0))), 0)</f>
        <v>3.291721283737889E-2</v>
      </c>
      <c r="T34" s="16">
        <f>IFERROR(INDEX(Volcado_Dist!$A:$ZZ, MATCH($B34, Volcado_Dist!$A:$A, 0), MATCH(T$2, Volcado_Dist!$1:$1, 0)) / SUM(INDEX(Volcado_Dist!$A:$ZZ, 0, MATCH(T$2, Volcado_Dist!$1:$1, 0))), 0)</f>
        <v>2.6354024048260366E-3</v>
      </c>
      <c r="U34" s="16">
        <f>IFERROR(INDEX(Volcado_Dist!$A:$ZZ, MATCH($B34, Volcado_Dist!$A:$A, 0), MATCH(U$2, Volcado_Dist!$1:$1, 0)) / SUM(INDEX(Volcado_Dist!$A:$ZZ, 0, MATCH(U$2, Volcado_Dist!$1:$1, 0))), 0)</f>
        <v>2.0039943395401441E-3</v>
      </c>
      <c r="V34" s="16">
        <f>IFERROR(INDEX(Volcado_Dist!$A:$ZZ, MATCH($B34, Volcado_Dist!$A:$A, 0), MATCH(V$2, Volcado_Dist!$1:$1, 0)) / SUM(INDEX(Volcado_Dist!$A:$ZZ, 0, MATCH(V$2, Volcado_Dist!$1:$1, 0))), 0)</f>
        <v>4.5420001039689233E-2</v>
      </c>
      <c r="W34" s="16">
        <f t="shared" si="1"/>
        <v>1.7710664025689091E-2</v>
      </c>
      <c r="X34" s="17">
        <f>IFERROR(SUM(_xlfn.XLOOKUP($B34, Volcado_Vend!$A:$A, Volcado_Vend!$C:$ZZ, 0)) / SUM(Volcado_Vend!$C:$ZZ), 0)</f>
        <v>1.9934078145660054E-3</v>
      </c>
      <c r="Y34" s="24">
        <f t="shared" si="0"/>
        <v>9.8520359201275474E-3</v>
      </c>
    </row>
    <row r="35" spans="2:25" x14ac:dyDescent="0.25">
      <c r="B35" s="15" t="s">
        <v>59</v>
      </c>
      <c r="C35" s="16">
        <f>IFERROR(INDEX(Volcado_Dist!$A:$ZZ, MATCH($B35, Volcado_Dist!$A:$A, 0), MATCH(C$2, Volcado_Dist!$1:$1, 0)) / SUM(INDEX(Volcado_Dist!$A:$ZZ, 0, MATCH(C$2, Volcado_Dist!$1:$1, 0))), 0)</f>
        <v>0</v>
      </c>
      <c r="D35" s="16">
        <f>IFERROR(INDEX(Volcado_Dist!$A:$ZZ, MATCH($B35, Volcado_Dist!$A:$A, 0), MATCH(D$2, Volcado_Dist!$1:$1, 0)) / SUM(INDEX(Volcado_Dist!$A:$ZZ, 0, MATCH(D$2, Volcado_Dist!$1:$1, 0))), 0)</f>
        <v>0</v>
      </c>
      <c r="E35" s="16">
        <f>IFERROR(INDEX(Volcado_Dist!$A:$ZZ, MATCH($B35, Volcado_Dist!$A:$A, 0), MATCH(E$2, Volcado_Dist!$1:$1, 0)) / SUM(INDEX(Volcado_Dist!$A:$ZZ, 0, MATCH(E$2, Volcado_Dist!$1:$1, 0))), 0)</f>
        <v>-6.9577817538546898E-5</v>
      </c>
      <c r="F35" s="16">
        <f>IFERROR(INDEX(Volcado_Dist!$A:$ZZ, MATCH($B35, Volcado_Dist!$A:$A, 0), MATCH(F$2, Volcado_Dist!$1:$1, 0)) / SUM(INDEX(Volcado_Dist!$A:$ZZ, 0, MATCH(F$2, Volcado_Dist!$1:$1, 0))), 0)</f>
        <v>0</v>
      </c>
      <c r="G35" s="16">
        <f>IFERROR(INDEX(Volcado_Dist!$A:$ZZ, MATCH($B35, Volcado_Dist!$A:$A, 0), MATCH(G$2, Volcado_Dist!$1:$1, 0)) / SUM(INDEX(Volcado_Dist!$A:$ZZ, 0, MATCH(G$2, Volcado_Dist!$1:$1, 0))), 0)</f>
        <v>0</v>
      </c>
      <c r="H35" s="16">
        <f>IFERROR(INDEX(Volcado_Dist!$A:$ZZ, MATCH($B35, Volcado_Dist!$A:$A, 0), MATCH(H$2, Volcado_Dist!$1:$1, 0)) / SUM(INDEX(Volcado_Dist!$A:$ZZ, 0, MATCH(H$2, Volcado_Dist!$1:$1, 0))), 0)</f>
        <v>0</v>
      </c>
      <c r="I35" s="16">
        <f>IFERROR(INDEX(Volcado_Dist!$A:$ZZ, MATCH($B35, Volcado_Dist!$A:$A, 0), MATCH(I$2, Volcado_Dist!$1:$1, 0)) / SUM(INDEX(Volcado_Dist!$A:$ZZ, 0, MATCH(I$2, Volcado_Dist!$1:$1, 0))), 0)</f>
        <v>-1.3757168841181991E-5</v>
      </c>
      <c r="J35" s="16">
        <f>IFERROR(INDEX(Volcado_Dist!$A:$ZZ, MATCH($B35, Volcado_Dist!$A:$A, 0), MATCH(J$2, Volcado_Dist!$1:$1, 0)) / SUM(INDEX(Volcado_Dist!$A:$ZZ, 0, MATCH(J$2, Volcado_Dist!$1:$1, 0))), 0)</f>
        <v>0</v>
      </c>
      <c r="K35" s="16">
        <f>IFERROR(INDEX(Volcado_Dist!$A:$ZZ, MATCH($B35, Volcado_Dist!$A:$A, 0), MATCH(K$2, Volcado_Dist!$1:$1, 0)) / SUM(INDEX(Volcado_Dist!$A:$ZZ, 0, MATCH(K$2, Volcado_Dist!$1:$1, 0))), 0)</f>
        <v>-4.4491963159113668E-5</v>
      </c>
      <c r="L35" s="16">
        <f>IFERROR(INDEX(Volcado_Dist!$A:$ZZ, MATCH($B35, Volcado_Dist!$A:$A, 0), MATCH(L$2, Volcado_Dist!$1:$1, 0)) / SUM(INDEX(Volcado_Dist!$A:$ZZ, 0, MATCH(L$2, Volcado_Dist!$1:$1, 0))), 0)</f>
        <v>-2.993066208718813E-4</v>
      </c>
      <c r="M35" s="16">
        <f>IFERROR(INDEX(Volcado_Dist!$A:$ZZ, MATCH($B35, Volcado_Dist!$A:$A, 0), MATCH(M$2, Volcado_Dist!$1:$1, 0)) / SUM(INDEX(Volcado_Dist!$A:$ZZ, 0, MATCH(M$2, Volcado_Dist!$1:$1, 0))), 0)</f>
        <v>0</v>
      </c>
      <c r="N35" s="16">
        <f>IFERROR(INDEX(Volcado_Dist!$A:$ZZ, MATCH($B35, Volcado_Dist!$A:$A, 0), MATCH(N$2, Volcado_Dist!$1:$1, 0)) / SUM(INDEX(Volcado_Dist!$A:$ZZ, 0, MATCH(N$2, Volcado_Dist!$1:$1, 0))), 0)</f>
        <v>0</v>
      </c>
      <c r="O35" s="16">
        <f>IFERROR(INDEX(Volcado_Dist!$A:$ZZ, MATCH($B35, Volcado_Dist!$A:$A, 0), MATCH(O$2, Volcado_Dist!$1:$1, 0)) / SUM(INDEX(Volcado_Dist!$A:$ZZ, 0, MATCH(O$2, Volcado_Dist!$1:$1, 0))), 0)</f>
        <v>-1.7889076542413952E-3</v>
      </c>
      <c r="P35" s="16">
        <f>IFERROR(INDEX(Volcado_Dist!$A:$ZZ, MATCH($B35, Volcado_Dist!$A:$A, 0), MATCH(P$2, Volcado_Dist!$1:$1, 0)) / SUM(INDEX(Volcado_Dist!$A:$ZZ, 0, MATCH(P$2, Volcado_Dist!$1:$1, 0))), 0)</f>
        <v>0</v>
      </c>
      <c r="Q35" s="16">
        <f>IFERROR(INDEX(Volcado_Dist!$A:$ZZ, MATCH($B35, Volcado_Dist!$A:$A, 0), MATCH(Q$2, Volcado_Dist!$1:$1, 0)) / SUM(INDEX(Volcado_Dist!$A:$ZZ, 0, MATCH(Q$2, Volcado_Dist!$1:$1, 0))), 0)</f>
        <v>0</v>
      </c>
      <c r="R35" s="16">
        <f>IFERROR(INDEX(Volcado_Dist!$A:$ZZ, MATCH($B35, Volcado_Dist!$A:$A, 0), MATCH(R$2, Volcado_Dist!$1:$1, 0)) / SUM(INDEX(Volcado_Dist!$A:$ZZ, 0, MATCH(R$2, Volcado_Dist!$1:$1, 0))), 0)</f>
        <v>0</v>
      </c>
      <c r="S35" s="16">
        <f>IFERROR(INDEX(Volcado_Dist!$A:$ZZ, MATCH($B35, Volcado_Dist!$A:$A, 0), MATCH(S$2, Volcado_Dist!$1:$1, 0)) / SUM(INDEX(Volcado_Dist!$A:$ZZ, 0, MATCH(S$2, Volcado_Dist!$1:$1, 0))), 0)</f>
        <v>0</v>
      </c>
      <c r="T35" s="16">
        <f>IFERROR(INDEX(Volcado_Dist!$A:$ZZ, MATCH($B35, Volcado_Dist!$A:$A, 0), MATCH(T$2, Volcado_Dist!$1:$1, 0)) / SUM(INDEX(Volcado_Dist!$A:$ZZ, 0, MATCH(T$2, Volcado_Dist!$1:$1, 0))), 0)</f>
        <v>0</v>
      </c>
      <c r="U35" s="16">
        <f>IFERROR(INDEX(Volcado_Dist!$A:$ZZ, MATCH($B35, Volcado_Dist!$A:$A, 0), MATCH(U$2, Volcado_Dist!$1:$1, 0)) / SUM(INDEX(Volcado_Dist!$A:$ZZ, 0, MATCH(U$2, Volcado_Dist!$1:$1, 0))), 0)</f>
        <v>0</v>
      </c>
      <c r="V35" s="16">
        <f>IFERROR(INDEX(Volcado_Dist!$A:$ZZ, MATCH($B35, Volcado_Dist!$A:$A, 0), MATCH(V$2, Volcado_Dist!$1:$1, 0)) / SUM(INDEX(Volcado_Dist!$A:$ZZ, 0, MATCH(V$2, Volcado_Dist!$1:$1, 0))), 0)</f>
        <v>0</v>
      </c>
      <c r="W35" s="16">
        <f t="shared" si="1"/>
        <v>-1.1080206123260595E-4</v>
      </c>
      <c r="X35" s="17">
        <f>IFERROR(SUM(_xlfn.XLOOKUP($B35, Volcado_Vend!$A:$A, Volcado_Vend!$C:$ZZ, 0)) / SUM(Volcado_Vend!$C:$ZZ), 0)</f>
        <v>0</v>
      </c>
      <c r="Y35" s="24">
        <f t="shared" si="0"/>
        <v>-5.5401030616302977E-5</v>
      </c>
    </row>
    <row r="36" spans="2:25" x14ac:dyDescent="0.25">
      <c r="B36" s="15" t="s">
        <v>60</v>
      </c>
      <c r="C36" s="16">
        <f>IFERROR(INDEX(Volcado_Dist!$A:$ZZ, MATCH($B36, Volcado_Dist!$A:$A, 0), MATCH(C$2, Volcado_Dist!$1:$1, 0)) / SUM(INDEX(Volcado_Dist!$A:$ZZ, 0, MATCH(C$2, Volcado_Dist!$1:$1, 0))), 0)</f>
        <v>0</v>
      </c>
      <c r="D36" s="16">
        <f>IFERROR(INDEX(Volcado_Dist!$A:$ZZ, MATCH($B36, Volcado_Dist!$A:$A, 0), MATCH(D$2, Volcado_Dist!$1:$1, 0)) / SUM(INDEX(Volcado_Dist!$A:$ZZ, 0, MATCH(D$2, Volcado_Dist!$1:$1, 0))), 0)</f>
        <v>0</v>
      </c>
      <c r="E36" s="16">
        <f>IFERROR(INDEX(Volcado_Dist!$A:$ZZ, MATCH($B36, Volcado_Dist!$A:$A, 0), MATCH(E$2, Volcado_Dist!$1:$1, 0)) / SUM(INDEX(Volcado_Dist!$A:$ZZ, 0, MATCH(E$2, Volcado_Dist!$1:$1, 0))), 0)</f>
        <v>-3.0796738910504365E-5</v>
      </c>
      <c r="F36" s="16">
        <f>IFERROR(INDEX(Volcado_Dist!$A:$ZZ, MATCH($B36, Volcado_Dist!$A:$A, 0), MATCH(F$2, Volcado_Dist!$1:$1, 0)) / SUM(INDEX(Volcado_Dist!$A:$ZZ, 0, MATCH(F$2, Volcado_Dist!$1:$1, 0))), 0)</f>
        <v>-1.4171937225008295E-4</v>
      </c>
      <c r="G36" s="16">
        <f>IFERROR(INDEX(Volcado_Dist!$A:$ZZ, MATCH($B36, Volcado_Dist!$A:$A, 0), MATCH(G$2, Volcado_Dist!$1:$1, 0)) / SUM(INDEX(Volcado_Dist!$A:$ZZ, 0, MATCH(G$2, Volcado_Dist!$1:$1, 0))), 0)</f>
        <v>0</v>
      </c>
      <c r="H36" s="16">
        <f>IFERROR(INDEX(Volcado_Dist!$A:$ZZ, MATCH($B36, Volcado_Dist!$A:$A, 0), MATCH(H$2, Volcado_Dist!$1:$1, 0)) / SUM(INDEX(Volcado_Dist!$A:$ZZ, 0, MATCH(H$2, Volcado_Dist!$1:$1, 0))), 0)</f>
        <v>0</v>
      </c>
      <c r="I36" s="16">
        <f>IFERROR(INDEX(Volcado_Dist!$A:$ZZ, MATCH($B36, Volcado_Dist!$A:$A, 0), MATCH(I$2, Volcado_Dist!$1:$1, 0)) / SUM(INDEX(Volcado_Dist!$A:$ZZ, 0, MATCH(I$2, Volcado_Dist!$1:$1, 0))), 0)</f>
        <v>0</v>
      </c>
      <c r="J36" s="16">
        <f>IFERROR(INDEX(Volcado_Dist!$A:$ZZ, MATCH($B36, Volcado_Dist!$A:$A, 0), MATCH(J$2, Volcado_Dist!$1:$1, 0)) / SUM(INDEX(Volcado_Dist!$A:$ZZ, 0, MATCH(J$2, Volcado_Dist!$1:$1, 0))), 0)</f>
        <v>0</v>
      </c>
      <c r="K36" s="16">
        <f>IFERROR(INDEX(Volcado_Dist!$A:$ZZ, MATCH($B36, Volcado_Dist!$A:$A, 0), MATCH(K$2, Volcado_Dist!$1:$1, 0)) / SUM(INDEX(Volcado_Dist!$A:$ZZ, 0, MATCH(K$2, Volcado_Dist!$1:$1, 0))), 0)</f>
        <v>-6.5935878736142256E-4</v>
      </c>
      <c r="L36" s="16">
        <f>IFERROR(INDEX(Volcado_Dist!$A:$ZZ, MATCH($B36, Volcado_Dist!$A:$A, 0), MATCH(L$2, Volcado_Dist!$1:$1, 0)) / SUM(INDEX(Volcado_Dist!$A:$ZZ, 0, MATCH(L$2, Volcado_Dist!$1:$1, 0))), 0)</f>
        <v>0</v>
      </c>
      <c r="M36" s="16">
        <f>IFERROR(INDEX(Volcado_Dist!$A:$ZZ, MATCH($B36, Volcado_Dist!$A:$A, 0), MATCH(M$2, Volcado_Dist!$1:$1, 0)) / SUM(INDEX(Volcado_Dist!$A:$ZZ, 0, MATCH(M$2, Volcado_Dist!$1:$1, 0))), 0)</f>
        <v>0</v>
      </c>
      <c r="N36" s="16">
        <f>IFERROR(INDEX(Volcado_Dist!$A:$ZZ, MATCH($B36, Volcado_Dist!$A:$A, 0), MATCH(N$2, Volcado_Dist!$1:$1, 0)) / SUM(INDEX(Volcado_Dist!$A:$ZZ, 0, MATCH(N$2, Volcado_Dist!$1:$1, 0))), 0)</f>
        <v>0</v>
      </c>
      <c r="O36" s="16">
        <f>IFERROR(INDEX(Volcado_Dist!$A:$ZZ, MATCH($B36, Volcado_Dist!$A:$A, 0), MATCH(O$2, Volcado_Dist!$1:$1, 0)) / SUM(INDEX(Volcado_Dist!$A:$ZZ, 0, MATCH(O$2, Volcado_Dist!$1:$1, 0))), 0)</f>
        <v>0</v>
      </c>
      <c r="P36" s="16">
        <f>IFERROR(INDEX(Volcado_Dist!$A:$ZZ, MATCH($B36, Volcado_Dist!$A:$A, 0), MATCH(P$2, Volcado_Dist!$1:$1, 0)) / SUM(INDEX(Volcado_Dist!$A:$ZZ, 0, MATCH(P$2, Volcado_Dist!$1:$1, 0))), 0)</f>
        <v>-9.127840132918035E-6</v>
      </c>
      <c r="Q36" s="16">
        <f>IFERROR(INDEX(Volcado_Dist!$A:$ZZ, MATCH($B36, Volcado_Dist!$A:$A, 0), MATCH(Q$2, Volcado_Dist!$1:$1, 0)) / SUM(INDEX(Volcado_Dist!$A:$ZZ, 0, MATCH(Q$2, Volcado_Dist!$1:$1, 0))), 0)</f>
        <v>0</v>
      </c>
      <c r="R36" s="16">
        <f>IFERROR(INDEX(Volcado_Dist!$A:$ZZ, MATCH($B36, Volcado_Dist!$A:$A, 0), MATCH(R$2, Volcado_Dist!$1:$1, 0)) / SUM(INDEX(Volcado_Dist!$A:$ZZ, 0, MATCH(R$2, Volcado_Dist!$1:$1, 0))), 0)</f>
        <v>0</v>
      </c>
      <c r="S36" s="16">
        <f>IFERROR(INDEX(Volcado_Dist!$A:$ZZ, MATCH($B36, Volcado_Dist!$A:$A, 0), MATCH(S$2, Volcado_Dist!$1:$1, 0)) / SUM(INDEX(Volcado_Dist!$A:$ZZ, 0, MATCH(S$2, Volcado_Dist!$1:$1, 0))), 0)</f>
        <v>-1.6487455517519525E-4</v>
      </c>
      <c r="T36" s="16">
        <f>IFERROR(INDEX(Volcado_Dist!$A:$ZZ, MATCH($B36, Volcado_Dist!$A:$A, 0), MATCH(T$2, Volcado_Dist!$1:$1, 0)) / SUM(INDEX(Volcado_Dist!$A:$ZZ, 0, MATCH(T$2, Volcado_Dist!$1:$1, 0))), 0)</f>
        <v>0</v>
      </c>
      <c r="U36" s="16">
        <f>IFERROR(INDEX(Volcado_Dist!$A:$ZZ, MATCH($B36, Volcado_Dist!$A:$A, 0), MATCH(U$2, Volcado_Dist!$1:$1, 0)) / SUM(INDEX(Volcado_Dist!$A:$ZZ, 0, MATCH(U$2, Volcado_Dist!$1:$1, 0))), 0)</f>
        <v>0</v>
      </c>
      <c r="V36" s="16">
        <f>IFERROR(INDEX(Volcado_Dist!$A:$ZZ, MATCH($B36, Volcado_Dist!$A:$A, 0), MATCH(V$2, Volcado_Dist!$1:$1, 0)) / SUM(INDEX(Volcado_Dist!$A:$ZZ, 0, MATCH(V$2, Volcado_Dist!$1:$1, 0))), 0)</f>
        <v>0</v>
      </c>
      <c r="W36" s="16">
        <f t="shared" si="1"/>
        <v>-5.0293864691506156E-5</v>
      </c>
      <c r="X36" s="17">
        <f>IFERROR(SUM(_xlfn.XLOOKUP($B36, Volcado_Vend!$A:$A, Volcado_Vend!$C:$ZZ, 0)) / SUM(Volcado_Vend!$C:$ZZ), 0)</f>
        <v>0</v>
      </c>
      <c r="Y36" s="24">
        <f t="shared" si="0"/>
        <v>-2.5146932345753078E-5</v>
      </c>
    </row>
    <row r="37" spans="2:25" x14ac:dyDescent="0.25">
      <c r="B37" s="15" t="s">
        <v>61</v>
      </c>
      <c r="C37" s="16">
        <f>IFERROR(INDEX(Volcado_Dist!$A:$ZZ, MATCH($B37, Volcado_Dist!$A:$A, 0), MATCH(C$2, Volcado_Dist!$1:$1, 0)) / SUM(INDEX(Volcado_Dist!$A:$ZZ, 0, MATCH(C$2, Volcado_Dist!$1:$1, 0))), 0)</f>
        <v>0</v>
      </c>
      <c r="D37" s="16">
        <f>IFERROR(INDEX(Volcado_Dist!$A:$ZZ, MATCH($B37, Volcado_Dist!$A:$A, 0), MATCH(D$2, Volcado_Dist!$1:$1, 0)) / SUM(INDEX(Volcado_Dist!$A:$ZZ, 0, MATCH(D$2, Volcado_Dist!$1:$1, 0))), 0)</f>
        <v>0</v>
      </c>
      <c r="E37" s="16">
        <f>IFERROR(INDEX(Volcado_Dist!$A:$ZZ, MATCH($B37, Volcado_Dist!$A:$A, 0), MATCH(E$2, Volcado_Dist!$1:$1, 0)) / SUM(INDEX(Volcado_Dist!$A:$ZZ, 0, MATCH(E$2, Volcado_Dist!$1:$1, 0))), 0)</f>
        <v>-6.7605970783304863E-3</v>
      </c>
      <c r="F37" s="16">
        <f>IFERROR(INDEX(Volcado_Dist!$A:$ZZ, MATCH($B37, Volcado_Dist!$A:$A, 0), MATCH(F$2, Volcado_Dist!$1:$1, 0)) / SUM(INDEX(Volcado_Dist!$A:$ZZ, 0, MATCH(F$2, Volcado_Dist!$1:$1, 0))), 0)</f>
        <v>-3.7826637536274646E-4</v>
      </c>
      <c r="G37" s="16">
        <f>IFERROR(INDEX(Volcado_Dist!$A:$ZZ, MATCH($B37, Volcado_Dist!$A:$A, 0), MATCH(G$2, Volcado_Dist!$1:$1, 0)) / SUM(INDEX(Volcado_Dist!$A:$ZZ, 0, MATCH(G$2, Volcado_Dist!$1:$1, 0))), 0)</f>
        <v>0</v>
      </c>
      <c r="H37" s="16">
        <f>IFERROR(INDEX(Volcado_Dist!$A:$ZZ, MATCH($B37, Volcado_Dist!$A:$A, 0), MATCH(H$2, Volcado_Dist!$1:$1, 0)) / SUM(INDEX(Volcado_Dist!$A:$ZZ, 0, MATCH(H$2, Volcado_Dist!$1:$1, 0))), 0)</f>
        <v>0</v>
      </c>
      <c r="I37" s="16">
        <f>IFERROR(INDEX(Volcado_Dist!$A:$ZZ, MATCH($B37, Volcado_Dist!$A:$A, 0), MATCH(I$2, Volcado_Dist!$1:$1, 0)) / SUM(INDEX(Volcado_Dist!$A:$ZZ, 0, MATCH(I$2, Volcado_Dist!$1:$1, 0))), 0)</f>
        <v>-1.0847598544513452E-3</v>
      </c>
      <c r="J37" s="16">
        <f>IFERROR(INDEX(Volcado_Dist!$A:$ZZ, MATCH($B37, Volcado_Dist!$A:$A, 0), MATCH(J$2, Volcado_Dist!$1:$1, 0)) / SUM(INDEX(Volcado_Dist!$A:$ZZ, 0, MATCH(J$2, Volcado_Dist!$1:$1, 0))), 0)</f>
        <v>0</v>
      </c>
      <c r="K37" s="16">
        <f>IFERROR(INDEX(Volcado_Dist!$A:$ZZ, MATCH($B37, Volcado_Dist!$A:$A, 0), MATCH(K$2, Volcado_Dist!$1:$1, 0)) / SUM(INDEX(Volcado_Dist!$A:$ZZ, 0, MATCH(K$2, Volcado_Dist!$1:$1, 0))), 0)</f>
        <v>-6.0621056470332494E-4</v>
      </c>
      <c r="L37" s="16">
        <f>IFERROR(INDEX(Volcado_Dist!$A:$ZZ, MATCH($B37, Volcado_Dist!$A:$A, 0), MATCH(L$2, Volcado_Dist!$1:$1, 0)) / SUM(INDEX(Volcado_Dist!$A:$ZZ, 0, MATCH(L$2, Volcado_Dist!$1:$1, 0))), 0)</f>
        <v>0</v>
      </c>
      <c r="M37" s="16">
        <f>IFERROR(INDEX(Volcado_Dist!$A:$ZZ, MATCH($B37, Volcado_Dist!$A:$A, 0), MATCH(M$2, Volcado_Dist!$1:$1, 0)) / SUM(INDEX(Volcado_Dist!$A:$ZZ, 0, MATCH(M$2, Volcado_Dist!$1:$1, 0))), 0)</f>
        <v>0</v>
      </c>
      <c r="N37" s="16">
        <f>IFERROR(INDEX(Volcado_Dist!$A:$ZZ, MATCH($B37, Volcado_Dist!$A:$A, 0), MATCH(N$2, Volcado_Dist!$1:$1, 0)) / SUM(INDEX(Volcado_Dist!$A:$ZZ, 0, MATCH(N$2, Volcado_Dist!$1:$1, 0))), 0)</f>
        <v>0</v>
      </c>
      <c r="O37" s="16">
        <f>IFERROR(INDEX(Volcado_Dist!$A:$ZZ, MATCH($B37, Volcado_Dist!$A:$A, 0), MATCH(O$2, Volcado_Dist!$1:$1, 0)) / SUM(INDEX(Volcado_Dist!$A:$ZZ, 0, MATCH(O$2, Volcado_Dist!$1:$1, 0))), 0)</f>
        <v>0</v>
      </c>
      <c r="P37" s="16">
        <f>IFERROR(INDEX(Volcado_Dist!$A:$ZZ, MATCH($B37, Volcado_Dist!$A:$A, 0), MATCH(P$2, Volcado_Dist!$1:$1, 0)) / SUM(INDEX(Volcado_Dist!$A:$ZZ, 0, MATCH(P$2, Volcado_Dist!$1:$1, 0))), 0)</f>
        <v>0</v>
      </c>
      <c r="Q37" s="16">
        <f>IFERROR(INDEX(Volcado_Dist!$A:$ZZ, MATCH($B37, Volcado_Dist!$A:$A, 0), MATCH(Q$2, Volcado_Dist!$1:$1, 0)) / SUM(INDEX(Volcado_Dist!$A:$ZZ, 0, MATCH(Q$2, Volcado_Dist!$1:$1, 0))), 0)</f>
        <v>0</v>
      </c>
      <c r="R37" s="16">
        <f>IFERROR(INDEX(Volcado_Dist!$A:$ZZ, MATCH($B37, Volcado_Dist!$A:$A, 0), MATCH(R$2, Volcado_Dist!$1:$1, 0)) / SUM(INDEX(Volcado_Dist!$A:$ZZ, 0, MATCH(R$2, Volcado_Dist!$1:$1, 0))), 0)</f>
        <v>0</v>
      </c>
      <c r="S37" s="16">
        <f>IFERROR(INDEX(Volcado_Dist!$A:$ZZ, MATCH($B37, Volcado_Dist!$A:$A, 0), MATCH(S$2, Volcado_Dist!$1:$1, 0)) / SUM(INDEX(Volcado_Dist!$A:$ZZ, 0, MATCH(S$2, Volcado_Dist!$1:$1, 0))), 0)</f>
        <v>-3.3504362692400439E-4</v>
      </c>
      <c r="T37" s="16">
        <f>IFERROR(INDEX(Volcado_Dist!$A:$ZZ, MATCH($B37, Volcado_Dist!$A:$A, 0), MATCH(T$2, Volcado_Dist!$1:$1, 0)) / SUM(INDEX(Volcado_Dist!$A:$ZZ, 0, MATCH(T$2, Volcado_Dist!$1:$1, 0))), 0)</f>
        <v>0</v>
      </c>
      <c r="U37" s="16">
        <f>IFERROR(INDEX(Volcado_Dist!$A:$ZZ, MATCH($B37, Volcado_Dist!$A:$A, 0), MATCH(U$2, Volcado_Dist!$1:$1, 0)) / SUM(INDEX(Volcado_Dist!$A:$ZZ, 0, MATCH(U$2, Volcado_Dist!$1:$1, 0))), 0)</f>
        <v>0</v>
      </c>
      <c r="V37" s="16">
        <f>IFERROR(INDEX(Volcado_Dist!$A:$ZZ, MATCH($B37, Volcado_Dist!$A:$A, 0), MATCH(V$2, Volcado_Dist!$1:$1, 0)) / SUM(INDEX(Volcado_Dist!$A:$ZZ, 0, MATCH(V$2, Volcado_Dist!$1:$1, 0))), 0)</f>
        <v>0</v>
      </c>
      <c r="W37" s="16">
        <f t="shared" si="1"/>
        <v>-4.5824387498859541E-4</v>
      </c>
      <c r="X37" s="17">
        <f>IFERROR(SUM(_xlfn.XLOOKUP($B37, Volcado_Vend!$A:$A, Volcado_Vend!$C:$ZZ, 0)) / SUM(Volcado_Vend!$C:$ZZ), 0)</f>
        <v>0</v>
      </c>
      <c r="Y37" s="24">
        <f t="shared" si="0"/>
        <v>-2.291219374942977E-4</v>
      </c>
    </row>
    <row r="38" spans="2:25" x14ac:dyDescent="0.25">
      <c r="B38" s="15" t="s">
        <v>62</v>
      </c>
      <c r="C38" s="16">
        <f>IFERROR(INDEX(Volcado_Dist!$A:$ZZ, MATCH($B38, Volcado_Dist!$A:$A, 0), MATCH(C$2, Volcado_Dist!$1:$1, 0)) / SUM(INDEX(Volcado_Dist!$A:$ZZ, 0, MATCH(C$2, Volcado_Dist!$1:$1, 0))), 0)</f>
        <v>0</v>
      </c>
      <c r="D38" s="16">
        <f>IFERROR(INDEX(Volcado_Dist!$A:$ZZ, MATCH($B38, Volcado_Dist!$A:$A, 0), MATCH(D$2, Volcado_Dist!$1:$1, 0)) / SUM(INDEX(Volcado_Dist!$A:$ZZ, 0, MATCH(D$2, Volcado_Dist!$1:$1, 0))), 0)</f>
        <v>0</v>
      </c>
      <c r="E38" s="16">
        <f>IFERROR(INDEX(Volcado_Dist!$A:$ZZ, MATCH($B38, Volcado_Dist!$A:$A, 0), MATCH(E$2, Volcado_Dist!$1:$1, 0)) / SUM(INDEX(Volcado_Dist!$A:$ZZ, 0, MATCH(E$2, Volcado_Dist!$1:$1, 0))), 0)</f>
        <v>-4.0486305467716758E-3</v>
      </c>
      <c r="F38" s="16">
        <f>IFERROR(INDEX(Volcado_Dist!$A:$ZZ, MATCH($B38, Volcado_Dist!$A:$A, 0), MATCH(F$2, Volcado_Dist!$1:$1, 0)) / SUM(INDEX(Volcado_Dist!$A:$ZZ, 0, MATCH(F$2, Volcado_Dist!$1:$1, 0))), 0)</f>
        <v>2.4610570424165442E-3</v>
      </c>
      <c r="G38" s="16">
        <f>IFERROR(INDEX(Volcado_Dist!$A:$ZZ, MATCH($B38, Volcado_Dist!$A:$A, 0), MATCH(G$2, Volcado_Dist!$1:$1, 0)) / SUM(INDEX(Volcado_Dist!$A:$ZZ, 0, MATCH(G$2, Volcado_Dist!$1:$1, 0))), 0)</f>
        <v>0</v>
      </c>
      <c r="H38" s="16">
        <f>IFERROR(INDEX(Volcado_Dist!$A:$ZZ, MATCH($B38, Volcado_Dist!$A:$A, 0), MATCH(H$2, Volcado_Dist!$1:$1, 0)) / SUM(INDEX(Volcado_Dist!$A:$ZZ, 0, MATCH(H$2, Volcado_Dist!$1:$1, 0))), 0)</f>
        <v>0</v>
      </c>
      <c r="I38" s="16">
        <f>IFERROR(INDEX(Volcado_Dist!$A:$ZZ, MATCH($B38, Volcado_Dist!$A:$A, 0), MATCH(I$2, Volcado_Dist!$1:$1, 0)) / SUM(INDEX(Volcado_Dist!$A:$ZZ, 0, MATCH(I$2, Volcado_Dist!$1:$1, 0))), 0)</f>
        <v>3.9512858135601053E-3</v>
      </c>
      <c r="J38" s="16">
        <f>IFERROR(INDEX(Volcado_Dist!$A:$ZZ, MATCH($B38, Volcado_Dist!$A:$A, 0), MATCH(J$2, Volcado_Dist!$1:$1, 0)) / SUM(INDEX(Volcado_Dist!$A:$ZZ, 0, MATCH(J$2, Volcado_Dist!$1:$1, 0))), 0)</f>
        <v>0</v>
      </c>
      <c r="K38" s="16">
        <f>IFERROR(INDEX(Volcado_Dist!$A:$ZZ, MATCH($B38, Volcado_Dist!$A:$A, 0), MATCH(K$2, Volcado_Dist!$1:$1, 0)) / SUM(INDEX(Volcado_Dist!$A:$ZZ, 0, MATCH(K$2, Volcado_Dist!$1:$1, 0))), 0)</f>
        <v>4.7647260546418158E-3</v>
      </c>
      <c r="L38" s="16">
        <f>IFERROR(INDEX(Volcado_Dist!$A:$ZZ, MATCH($B38, Volcado_Dist!$A:$A, 0), MATCH(L$2, Volcado_Dist!$1:$1, 0)) / SUM(INDEX(Volcado_Dist!$A:$ZZ, 0, MATCH(L$2, Volcado_Dist!$1:$1, 0))), 0)</f>
        <v>6.0828471418690163E-3</v>
      </c>
      <c r="M38" s="16">
        <f>IFERROR(INDEX(Volcado_Dist!$A:$ZZ, MATCH($B38, Volcado_Dist!$A:$A, 0), MATCH(M$2, Volcado_Dist!$1:$1, 0)) / SUM(INDEX(Volcado_Dist!$A:$ZZ, 0, MATCH(M$2, Volcado_Dist!$1:$1, 0))), 0)</f>
        <v>8.6453495814630705E-3</v>
      </c>
      <c r="N38" s="16">
        <f>IFERROR(INDEX(Volcado_Dist!$A:$ZZ, MATCH($B38, Volcado_Dist!$A:$A, 0), MATCH(N$2, Volcado_Dist!$1:$1, 0)) / SUM(INDEX(Volcado_Dist!$A:$ZZ, 0, MATCH(N$2, Volcado_Dist!$1:$1, 0))), 0)</f>
        <v>0</v>
      </c>
      <c r="O38" s="16">
        <f>IFERROR(INDEX(Volcado_Dist!$A:$ZZ, MATCH($B38, Volcado_Dist!$A:$A, 0), MATCH(O$2, Volcado_Dist!$1:$1, 0)) / SUM(INDEX(Volcado_Dist!$A:$ZZ, 0, MATCH(O$2, Volcado_Dist!$1:$1, 0))), 0)</f>
        <v>-6.3474119582583501E-3</v>
      </c>
      <c r="P38" s="16">
        <f>IFERROR(INDEX(Volcado_Dist!$A:$ZZ, MATCH($B38, Volcado_Dist!$A:$A, 0), MATCH(P$2, Volcado_Dist!$1:$1, 0)) / SUM(INDEX(Volcado_Dist!$A:$ZZ, 0, MATCH(P$2, Volcado_Dist!$1:$1, 0))), 0)</f>
        <v>5.1131117811229199E-3</v>
      </c>
      <c r="Q38" s="16">
        <f>IFERROR(INDEX(Volcado_Dist!$A:$ZZ, MATCH($B38, Volcado_Dist!$A:$A, 0), MATCH(Q$2, Volcado_Dist!$1:$1, 0)) / SUM(INDEX(Volcado_Dist!$A:$ZZ, 0, MATCH(Q$2, Volcado_Dist!$1:$1, 0))), 0)</f>
        <v>1.2835181081427434E-3</v>
      </c>
      <c r="R38" s="16">
        <f>IFERROR(INDEX(Volcado_Dist!$A:$ZZ, MATCH($B38, Volcado_Dist!$A:$A, 0), MATCH(R$2, Volcado_Dist!$1:$1, 0)) / SUM(INDEX(Volcado_Dist!$A:$ZZ, 0, MATCH(R$2, Volcado_Dist!$1:$1, 0))), 0)</f>
        <v>0</v>
      </c>
      <c r="S38" s="16">
        <f>IFERROR(INDEX(Volcado_Dist!$A:$ZZ, MATCH($B38, Volcado_Dist!$A:$A, 0), MATCH(S$2, Volcado_Dist!$1:$1, 0)) / SUM(INDEX(Volcado_Dist!$A:$ZZ, 0, MATCH(S$2, Volcado_Dist!$1:$1, 0))), 0)</f>
        <v>4.6327020019121593E-5</v>
      </c>
      <c r="T38" s="16">
        <f>IFERROR(INDEX(Volcado_Dist!$A:$ZZ, MATCH($B38, Volcado_Dist!$A:$A, 0), MATCH(T$2, Volcado_Dist!$1:$1, 0)) / SUM(INDEX(Volcado_Dist!$A:$ZZ, 0, MATCH(T$2, Volcado_Dist!$1:$1, 0))), 0)</f>
        <v>2.6810030430956985E-4</v>
      </c>
      <c r="U38" s="16">
        <f>IFERROR(INDEX(Volcado_Dist!$A:$ZZ, MATCH($B38, Volcado_Dist!$A:$A, 0), MATCH(U$2, Volcado_Dist!$1:$1, 0)) / SUM(INDEX(Volcado_Dist!$A:$ZZ, 0, MATCH(U$2, Volcado_Dist!$1:$1, 0))), 0)</f>
        <v>0</v>
      </c>
      <c r="V38" s="16">
        <f>IFERROR(INDEX(Volcado_Dist!$A:$ZZ, MATCH($B38, Volcado_Dist!$A:$A, 0), MATCH(V$2, Volcado_Dist!$1:$1, 0)) / SUM(INDEX(Volcado_Dist!$A:$ZZ, 0, MATCH(V$2, Volcado_Dist!$1:$1, 0))), 0)</f>
        <v>7.4134518034113641E-3</v>
      </c>
      <c r="W38" s="16">
        <f t="shared" si="1"/>
        <v>1.4816866072963121E-3</v>
      </c>
      <c r="X38" s="17">
        <f>IFERROR(SUM(_xlfn.XLOOKUP($B38, Volcado_Vend!$A:$A, Volcado_Vend!$C:$ZZ, 0)) / SUM(Volcado_Vend!$C:$ZZ), 0)</f>
        <v>6.4386465833830208E-3</v>
      </c>
      <c r="Y38" s="24">
        <f t="shared" si="0"/>
        <v>3.9601665953396667E-3</v>
      </c>
    </row>
    <row r="39" spans="2:25" x14ac:dyDescent="0.25">
      <c r="B39" s="15" t="s">
        <v>63</v>
      </c>
      <c r="C39" s="16">
        <f>IFERROR(INDEX(Volcado_Dist!$A:$ZZ, MATCH($B39, Volcado_Dist!$A:$A, 0), MATCH(C$2, Volcado_Dist!$1:$1, 0)) / SUM(INDEX(Volcado_Dist!$A:$ZZ, 0, MATCH(C$2, Volcado_Dist!$1:$1, 0))), 0)</f>
        <v>9.4151166904710652E-3</v>
      </c>
      <c r="D39" s="16">
        <f>IFERROR(INDEX(Volcado_Dist!$A:$ZZ, MATCH($B39, Volcado_Dist!$A:$A, 0), MATCH(D$2, Volcado_Dist!$1:$1, 0)) / SUM(INDEX(Volcado_Dist!$A:$ZZ, 0, MATCH(D$2, Volcado_Dist!$1:$1, 0))), 0)</f>
        <v>0.76612153151780871</v>
      </c>
      <c r="E39" s="16">
        <f>IFERROR(INDEX(Volcado_Dist!$A:$ZZ, MATCH($B39, Volcado_Dist!$A:$A, 0), MATCH(E$2, Volcado_Dist!$1:$1, 0)) / SUM(INDEX(Volcado_Dist!$A:$ZZ, 0, MATCH(E$2, Volcado_Dist!$1:$1, 0))), 0)</f>
        <v>1.1439234987229987E-2</v>
      </c>
      <c r="F39" s="16">
        <f>IFERROR(INDEX(Volcado_Dist!$A:$ZZ, MATCH($B39, Volcado_Dist!$A:$A, 0), MATCH(F$2, Volcado_Dist!$1:$1, 0)) / SUM(INDEX(Volcado_Dist!$A:$ZZ, 0, MATCH(F$2, Volcado_Dist!$1:$1, 0))), 0)</f>
        <v>2.0896878384058393E-2</v>
      </c>
      <c r="G39" s="16">
        <f>IFERROR(INDEX(Volcado_Dist!$A:$ZZ, MATCH($B39, Volcado_Dist!$A:$A, 0), MATCH(G$2, Volcado_Dist!$1:$1, 0)) / SUM(INDEX(Volcado_Dist!$A:$ZZ, 0, MATCH(G$2, Volcado_Dist!$1:$1, 0))), 0)</f>
        <v>9.1614246397978862E-3</v>
      </c>
      <c r="H39" s="16">
        <f>IFERROR(INDEX(Volcado_Dist!$A:$ZZ, MATCH($B39, Volcado_Dist!$A:$A, 0), MATCH(H$2, Volcado_Dist!$1:$1, 0)) / SUM(INDEX(Volcado_Dist!$A:$ZZ, 0, MATCH(H$2, Volcado_Dist!$1:$1, 0))), 0)</f>
        <v>0</v>
      </c>
      <c r="I39" s="16">
        <f>IFERROR(INDEX(Volcado_Dist!$A:$ZZ, MATCH($B39, Volcado_Dist!$A:$A, 0), MATCH(I$2, Volcado_Dist!$1:$1, 0)) / SUM(INDEX(Volcado_Dist!$A:$ZZ, 0, MATCH(I$2, Volcado_Dist!$1:$1, 0))), 0)</f>
        <v>1.2515652043177615E-2</v>
      </c>
      <c r="J39" s="16">
        <f>IFERROR(INDEX(Volcado_Dist!$A:$ZZ, MATCH($B39, Volcado_Dist!$A:$A, 0), MATCH(J$2, Volcado_Dist!$1:$1, 0)) / SUM(INDEX(Volcado_Dist!$A:$ZZ, 0, MATCH(J$2, Volcado_Dist!$1:$1, 0))), 0)</f>
        <v>0</v>
      </c>
      <c r="K39" s="16">
        <f>IFERROR(INDEX(Volcado_Dist!$A:$ZZ, MATCH($B39, Volcado_Dist!$A:$A, 0), MATCH(K$2, Volcado_Dist!$1:$1, 0)) / SUM(INDEX(Volcado_Dist!$A:$ZZ, 0, MATCH(K$2, Volcado_Dist!$1:$1, 0))), 0)</f>
        <v>3.0157998512115473E-2</v>
      </c>
      <c r="L39" s="16">
        <f>IFERROR(INDEX(Volcado_Dist!$A:$ZZ, MATCH($B39, Volcado_Dist!$A:$A, 0), MATCH(L$2, Volcado_Dist!$1:$1, 0)) / SUM(INDEX(Volcado_Dist!$A:$ZZ, 0, MATCH(L$2, Volcado_Dist!$1:$1, 0))), 0)</f>
        <v>1.8034918453511437E-2</v>
      </c>
      <c r="M39" s="16">
        <f>IFERROR(INDEX(Volcado_Dist!$A:$ZZ, MATCH($B39, Volcado_Dist!$A:$A, 0), MATCH(M$2, Volcado_Dist!$1:$1, 0)) / SUM(INDEX(Volcado_Dist!$A:$ZZ, 0, MATCH(M$2, Volcado_Dist!$1:$1, 0))), 0)</f>
        <v>3.3246016960871039E-2</v>
      </c>
      <c r="N39" s="16">
        <f>IFERROR(INDEX(Volcado_Dist!$A:$ZZ, MATCH($B39, Volcado_Dist!$A:$A, 0), MATCH(N$2, Volcado_Dist!$1:$1, 0)) / SUM(INDEX(Volcado_Dist!$A:$ZZ, 0, MATCH(N$2, Volcado_Dist!$1:$1, 0))), 0)</f>
        <v>0</v>
      </c>
      <c r="O39" s="16">
        <f>IFERROR(INDEX(Volcado_Dist!$A:$ZZ, MATCH($B39, Volcado_Dist!$A:$A, 0), MATCH(O$2, Volcado_Dist!$1:$1, 0)) / SUM(INDEX(Volcado_Dist!$A:$ZZ, 0, MATCH(O$2, Volcado_Dist!$1:$1, 0))), 0)</f>
        <v>1.042375466370074E-3</v>
      </c>
      <c r="P39" s="16">
        <f>IFERROR(INDEX(Volcado_Dist!$A:$ZZ, MATCH($B39, Volcado_Dist!$A:$A, 0), MATCH(P$2, Volcado_Dist!$1:$1, 0)) / SUM(INDEX(Volcado_Dist!$A:$ZZ, 0, MATCH(P$2, Volcado_Dist!$1:$1, 0))), 0)</f>
        <v>2.7264537970855079E-2</v>
      </c>
      <c r="Q39" s="16">
        <f>IFERROR(INDEX(Volcado_Dist!$A:$ZZ, MATCH($B39, Volcado_Dist!$A:$A, 0), MATCH(Q$2, Volcado_Dist!$1:$1, 0)) / SUM(INDEX(Volcado_Dist!$A:$ZZ, 0, MATCH(Q$2, Volcado_Dist!$1:$1, 0))), 0)</f>
        <v>2.5940670992560214E-2</v>
      </c>
      <c r="R39" s="16">
        <f>IFERROR(INDEX(Volcado_Dist!$A:$ZZ, MATCH($B39, Volcado_Dist!$A:$A, 0), MATCH(R$2, Volcado_Dist!$1:$1, 0)) / SUM(INDEX(Volcado_Dist!$A:$ZZ, 0, MATCH(R$2, Volcado_Dist!$1:$1, 0))), 0)</f>
        <v>0</v>
      </c>
      <c r="S39" s="16">
        <f>IFERROR(INDEX(Volcado_Dist!$A:$ZZ, MATCH($B39, Volcado_Dist!$A:$A, 0), MATCH(S$2, Volcado_Dist!$1:$1, 0)) / SUM(INDEX(Volcado_Dist!$A:$ZZ, 0, MATCH(S$2, Volcado_Dist!$1:$1, 0))), 0)</f>
        <v>4.0264881269155117E-2</v>
      </c>
      <c r="T39" s="16">
        <f>IFERROR(INDEX(Volcado_Dist!$A:$ZZ, MATCH($B39, Volcado_Dist!$A:$A, 0), MATCH(T$2, Volcado_Dist!$1:$1, 0)) / SUM(INDEX(Volcado_Dist!$A:$ZZ, 0, MATCH(T$2, Volcado_Dist!$1:$1, 0))), 0)</f>
        <v>3.3084355907523059E-2</v>
      </c>
      <c r="U39" s="16">
        <f>IFERROR(INDEX(Volcado_Dist!$A:$ZZ, MATCH($B39, Volcado_Dist!$A:$A, 0), MATCH(U$2, Volcado_Dist!$1:$1, 0)) / SUM(INDEX(Volcado_Dist!$A:$ZZ, 0, MATCH(U$2, Volcado_Dist!$1:$1, 0))), 0)</f>
        <v>9.975438490155383E-3</v>
      </c>
      <c r="V39" s="16">
        <f>IFERROR(INDEX(Volcado_Dist!$A:$ZZ, MATCH($B39, Volcado_Dist!$A:$A, 0), MATCH(V$2, Volcado_Dist!$1:$1, 0)) / SUM(INDEX(Volcado_Dist!$A:$ZZ, 0, MATCH(V$2, Volcado_Dist!$1:$1, 0))), 0)</f>
        <v>1.8226188981714592E-2</v>
      </c>
      <c r="W39" s="16">
        <f t="shared" si="1"/>
        <v>5.333936106336875E-2</v>
      </c>
      <c r="X39" s="17">
        <f>IFERROR(SUM(_xlfn.XLOOKUP($B39, Volcado_Vend!$A:$A, Volcado_Vend!$C:$ZZ, 0)) / SUM(Volcado_Vend!$C:$ZZ), 0)</f>
        <v>3.2522377506090938E-2</v>
      </c>
      <c r="Y39" s="24">
        <f t="shared" si="0"/>
        <v>4.2930869284729847E-2</v>
      </c>
    </row>
    <row r="40" spans="2:25" x14ac:dyDescent="0.25">
      <c r="B40" s="15" t="s">
        <v>64</v>
      </c>
      <c r="C40" s="16">
        <f>IFERROR(INDEX(Volcado_Dist!$A:$ZZ, MATCH($B40, Volcado_Dist!$A:$A, 0), MATCH(C$2, Volcado_Dist!$1:$1, 0)) / SUM(INDEX(Volcado_Dist!$A:$ZZ, 0, MATCH(C$2, Volcado_Dist!$1:$1, 0))), 0)</f>
        <v>2.5380639906001395E-2</v>
      </c>
      <c r="D40" s="16">
        <f>IFERROR(INDEX(Volcado_Dist!$A:$ZZ, MATCH($B40, Volcado_Dist!$A:$A, 0), MATCH(D$2, Volcado_Dist!$1:$1, 0)) / SUM(INDEX(Volcado_Dist!$A:$ZZ, 0, MATCH(D$2, Volcado_Dist!$1:$1, 0))), 0)</f>
        <v>0</v>
      </c>
      <c r="E40" s="16">
        <f>IFERROR(INDEX(Volcado_Dist!$A:$ZZ, MATCH($B40, Volcado_Dist!$A:$A, 0), MATCH(E$2, Volcado_Dist!$1:$1, 0)) / SUM(INDEX(Volcado_Dist!$A:$ZZ, 0, MATCH(E$2, Volcado_Dist!$1:$1, 0))), 0)</f>
        <v>2.5095920352182114E-2</v>
      </c>
      <c r="F40" s="16">
        <f>IFERROR(INDEX(Volcado_Dist!$A:$ZZ, MATCH($B40, Volcado_Dist!$A:$A, 0), MATCH(F$2, Volcado_Dist!$1:$1, 0)) / SUM(INDEX(Volcado_Dist!$A:$ZZ, 0, MATCH(F$2, Volcado_Dist!$1:$1, 0))), 0)</f>
        <v>5.4816061060734833E-3</v>
      </c>
      <c r="G40" s="16">
        <f>IFERROR(INDEX(Volcado_Dist!$A:$ZZ, MATCH($B40, Volcado_Dist!$A:$A, 0), MATCH(G$2, Volcado_Dist!$1:$1, 0)) / SUM(INDEX(Volcado_Dist!$A:$ZZ, 0, MATCH(G$2, Volcado_Dist!$1:$1, 0))), 0)</f>
        <v>0</v>
      </c>
      <c r="H40" s="16">
        <f>IFERROR(INDEX(Volcado_Dist!$A:$ZZ, MATCH($B40, Volcado_Dist!$A:$A, 0), MATCH(H$2, Volcado_Dist!$1:$1, 0)) / SUM(INDEX(Volcado_Dist!$A:$ZZ, 0, MATCH(H$2, Volcado_Dist!$1:$1, 0))), 0)</f>
        <v>0</v>
      </c>
      <c r="I40" s="16">
        <f>IFERROR(INDEX(Volcado_Dist!$A:$ZZ, MATCH($B40, Volcado_Dist!$A:$A, 0), MATCH(I$2, Volcado_Dist!$1:$1, 0)) / SUM(INDEX(Volcado_Dist!$A:$ZZ, 0, MATCH(I$2, Volcado_Dist!$1:$1, 0))), 0)</f>
        <v>8.5968122609097562E-3</v>
      </c>
      <c r="J40" s="16">
        <f>IFERROR(INDEX(Volcado_Dist!$A:$ZZ, MATCH($B40, Volcado_Dist!$A:$A, 0), MATCH(J$2, Volcado_Dist!$1:$1, 0)) / SUM(INDEX(Volcado_Dist!$A:$ZZ, 0, MATCH(J$2, Volcado_Dist!$1:$1, 0))), 0)</f>
        <v>0</v>
      </c>
      <c r="K40" s="16">
        <f>IFERROR(INDEX(Volcado_Dist!$A:$ZZ, MATCH($B40, Volcado_Dist!$A:$A, 0), MATCH(K$2, Volcado_Dist!$1:$1, 0)) / SUM(INDEX(Volcado_Dist!$A:$ZZ, 0, MATCH(K$2, Volcado_Dist!$1:$1, 0))), 0)</f>
        <v>2.2889577342741135E-2</v>
      </c>
      <c r="L40" s="16">
        <f>IFERROR(INDEX(Volcado_Dist!$A:$ZZ, MATCH($B40, Volcado_Dist!$A:$A, 0), MATCH(L$2, Volcado_Dist!$1:$1, 0)) / SUM(INDEX(Volcado_Dist!$A:$ZZ, 0, MATCH(L$2, Volcado_Dist!$1:$1, 0))), 0)</f>
        <v>8.8617835571976281E-3</v>
      </c>
      <c r="M40" s="16">
        <f>IFERROR(INDEX(Volcado_Dist!$A:$ZZ, MATCH($B40, Volcado_Dist!$A:$A, 0), MATCH(M$2, Volcado_Dist!$1:$1, 0)) / SUM(INDEX(Volcado_Dist!$A:$ZZ, 0, MATCH(M$2, Volcado_Dist!$1:$1, 0))), 0)</f>
        <v>8.1528463860696537E-3</v>
      </c>
      <c r="N40" s="16">
        <f>IFERROR(INDEX(Volcado_Dist!$A:$ZZ, MATCH($B40, Volcado_Dist!$A:$A, 0), MATCH(N$2, Volcado_Dist!$1:$1, 0)) / SUM(INDEX(Volcado_Dist!$A:$ZZ, 0, MATCH(N$2, Volcado_Dist!$1:$1, 0))), 0)</f>
        <v>0</v>
      </c>
      <c r="O40" s="16">
        <f>IFERROR(INDEX(Volcado_Dist!$A:$ZZ, MATCH($B40, Volcado_Dist!$A:$A, 0), MATCH(O$2, Volcado_Dist!$1:$1, 0)) / SUM(INDEX(Volcado_Dist!$A:$ZZ, 0, MATCH(O$2, Volcado_Dist!$1:$1, 0))), 0)</f>
        <v>0</v>
      </c>
      <c r="P40" s="16">
        <f>IFERROR(INDEX(Volcado_Dist!$A:$ZZ, MATCH($B40, Volcado_Dist!$A:$A, 0), MATCH(P$2, Volcado_Dist!$1:$1, 0)) / SUM(INDEX(Volcado_Dist!$A:$ZZ, 0, MATCH(P$2, Volcado_Dist!$1:$1, 0))), 0)</f>
        <v>2.6327480005598453E-2</v>
      </c>
      <c r="Q40" s="16">
        <f>IFERROR(INDEX(Volcado_Dist!$A:$ZZ, MATCH($B40, Volcado_Dist!$A:$A, 0), MATCH(Q$2, Volcado_Dist!$1:$1, 0)) / SUM(INDEX(Volcado_Dist!$A:$ZZ, 0, MATCH(Q$2, Volcado_Dist!$1:$1, 0))), 0)</f>
        <v>3.7708389702275406E-3</v>
      </c>
      <c r="R40" s="16">
        <f>IFERROR(INDEX(Volcado_Dist!$A:$ZZ, MATCH($B40, Volcado_Dist!$A:$A, 0), MATCH(R$2, Volcado_Dist!$1:$1, 0)) / SUM(INDEX(Volcado_Dist!$A:$ZZ, 0, MATCH(R$2, Volcado_Dist!$1:$1, 0))), 0)</f>
        <v>0</v>
      </c>
      <c r="S40" s="16">
        <f>IFERROR(INDEX(Volcado_Dist!$A:$ZZ, MATCH($B40, Volcado_Dist!$A:$A, 0), MATCH(S$2, Volcado_Dist!$1:$1, 0)) / SUM(INDEX(Volcado_Dist!$A:$ZZ, 0, MATCH(S$2, Volcado_Dist!$1:$1, 0))), 0)</f>
        <v>4.9521102595797102E-3</v>
      </c>
      <c r="T40" s="16">
        <f>IFERROR(INDEX(Volcado_Dist!$A:$ZZ, MATCH($B40, Volcado_Dist!$A:$A, 0), MATCH(T$2, Volcado_Dist!$1:$1, 0)) / SUM(INDEX(Volcado_Dist!$A:$ZZ, 0, MATCH(T$2, Volcado_Dist!$1:$1, 0))), 0)</f>
        <v>5.9996523906025116E-3</v>
      </c>
      <c r="U40" s="16">
        <f>IFERROR(INDEX(Volcado_Dist!$A:$ZZ, MATCH($B40, Volcado_Dist!$A:$A, 0), MATCH(U$2, Volcado_Dist!$1:$1, 0)) / SUM(INDEX(Volcado_Dist!$A:$ZZ, 0, MATCH(U$2, Volcado_Dist!$1:$1, 0))), 0)</f>
        <v>4.01748909668996E-2</v>
      </c>
      <c r="V40" s="16">
        <f>IFERROR(INDEX(Volcado_Dist!$A:$ZZ, MATCH($B40, Volcado_Dist!$A:$A, 0), MATCH(V$2, Volcado_Dist!$1:$1, 0)) / SUM(INDEX(Volcado_Dist!$A:$ZZ, 0, MATCH(V$2, Volcado_Dist!$1:$1, 0))), 0)</f>
        <v>1.4795680336222318E-2</v>
      </c>
      <c r="W40" s="16">
        <f t="shared" si="1"/>
        <v>1.0023991942015264E-2</v>
      </c>
      <c r="X40" s="17">
        <f>IFERROR(SUM(_xlfn.XLOOKUP($B40, Volcado_Vend!$A:$A, Volcado_Vend!$C:$ZZ, 0)) / SUM(Volcado_Vend!$C:$ZZ), 0)</f>
        <v>7.2137038416742573E-3</v>
      </c>
      <c r="Y40" s="24">
        <f t="shared" si="0"/>
        <v>8.6188478918447602E-3</v>
      </c>
    </row>
    <row r="41" spans="2:25" x14ac:dyDescent="0.25">
      <c r="B41" s="15" t="s">
        <v>65</v>
      </c>
      <c r="C41" s="16">
        <f>IFERROR(INDEX(Volcado_Dist!$A:$ZZ, MATCH($B41, Volcado_Dist!$A:$A, 0), MATCH(C$2, Volcado_Dist!$1:$1, 0)) / SUM(INDEX(Volcado_Dist!$A:$ZZ, 0, MATCH(C$2, Volcado_Dist!$1:$1, 0))), 0)</f>
        <v>4.1134716702869356E-4</v>
      </c>
      <c r="D41" s="16">
        <f>IFERROR(INDEX(Volcado_Dist!$A:$ZZ, MATCH($B41, Volcado_Dist!$A:$A, 0), MATCH(D$2, Volcado_Dist!$1:$1, 0)) / SUM(INDEX(Volcado_Dist!$A:$ZZ, 0, MATCH(D$2, Volcado_Dist!$1:$1, 0))), 0)</f>
        <v>0</v>
      </c>
      <c r="E41" s="16">
        <f>IFERROR(INDEX(Volcado_Dist!$A:$ZZ, MATCH($B41, Volcado_Dist!$A:$A, 0), MATCH(E$2, Volcado_Dist!$1:$1, 0)) / SUM(INDEX(Volcado_Dist!$A:$ZZ, 0, MATCH(E$2, Volcado_Dist!$1:$1, 0))), 0)</f>
        <v>2.7203786037612189E-4</v>
      </c>
      <c r="F41" s="16">
        <f>IFERROR(INDEX(Volcado_Dist!$A:$ZZ, MATCH($B41, Volcado_Dist!$A:$A, 0), MATCH(F$2, Volcado_Dist!$1:$1, 0)) / SUM(INDEX(Volcado_Dist!$A:$ZZ, 0, MATCH(F$2, Volcado_Dist!$1:$1, 0))), 0)</f>
        <v>1.0479449897126027E-4</v>
      </c>
      <c r="G41" s="16">
        <f>IFERROR(INDEX(Volcado_Dist!$A:$ZZ, MATCH($B41, Volcado_Dist!$A:$A, 0), MATCH(G$2, Volcado_Dist!$1:$1, 0)) / SUM(INDEX(Volcado_Dist!$A:$ZZ, 0, MATCH(G$2, Volcado_Dist!$1:$1, 0))), 0)</f>
        <v>0</v>
      </c>
      <c r="H41" s="16">
        <f>IFERROR(INDEX(Volcado_Dist!$A:$ZZ, MATCH($B41, Volcado_Dist!$A:$A, 0), MATCH(H$2, Volcado_Dist!$1:$1, 0)) / SUM(INDEX(Volcado_Dist!$A:$ZZ, 0, MATCH(H$2, Volcado_Dist!$1:$1, 0))), 0)</f>
        <v>0</v>
      </c>
      <c r="I41" s="16">
        <f>IFERROR(INDEX(Volcado_Dist!$A:$ZZ, MATCH($B41, Volcado_Dist!$A:$A, 0), MATCH(I$2, Volcado_Dist!$1:$1, 0)) / SUM(INDEX(Volcado_Dist!$A:$ZZ, 0, MATCH(I$2, Volcado_Dist!$1:$1, 0))), 0)</f>
        <v>1.9427391627475357E-3</v>
      </c>
      <c r="J41" s="16">
        <f>IFERROR(INDEX(Volcado_Dist!$A:$ZZ, MATCH($B41, Volcado_Dist!$A:$A, 0), MATCH(J$2, Volcado_Dist!$1:$1, 0)) / SUM(INDEX(Volcado_Dist!$A:$ZZ, 0, MATCH(J$2, Volcado_Dist!$1:$1, 0))), 0)</f>
        <v>0</v>
      </c>
      <c r="K41" s="16">
        <f>IFERROR(INDEX(Volcado_Dist!$A:$ZZ, MATCH($B41, Volcado_Dist!$A:$A, 0), MATCH(K$2, Volcado_Dist!$1:$1, 0)) / SUM(INDEX(Volcado_Dist!$A:$ZZ, 0, MATCH(K$2, Volcado_Dist!$1:$1, 0))), 0)</f>
        <v>1.9747167648661301E-3</v>
      </c>
      <c r="L41" s="16">
        <f>IFERROR(INDEX(Volcado_Dist!$A:$ZZ, MATCH($B41, Volcado_Dist!$A:$A, 0), MATCH(L$2, Volcado_Dist!$1:$1, 0)) / SUM(INDEX(Volcado_Dist!$A:$ZZ, 0, MATCH(L$2, Volcado_Dist!$1:$1, 0))), 0)</f>
        <v>2.0646048541774673E-3</v>
      </c>
      <c r="M41" s="16">
        <f>IFERROR(INDEX(Volcado_Dist!$A:$ZZ, MATCH($B41, Volcado_Dist!$A:$A, 0), MATCH(M$2, Volcado_Dist!$1:$1, 0)) / SUM(INDEX(Volcado_Dist!$A:$ZZ, 0, MATCH(M$2, Volcado_Dist!$1:$1, 0))), 0)</f>
        <v>2.8824840165821669E-3</v>
      </c>
      <c r="N41" s="16">
        <f>IFERROR(INDEX(Volcado_Dist!$A:$ZZ, MATCH($B41, Volcado_Dist!$A:$A, 0), MATCH(N$2, Volcado_Dist!$1:$1, 0)) / SUM(INDEX(Volcado_Dist!$A:$ZZ, 0, MATCH(N$2, Volcado_Dist!$1:$1, 0))), 0)</f>
        <v>0</v>
      </c>
      <c r="O41" s="16">
        <f>IFERROR(INDEX(Volcado_Dist!$A:$ZZ, MATCH($B41, Volcado_Dist!$A:$A, 0), MATCH(O$2, Volcado_Dist!$1:$1, 0)) / SUM(INDEX(Volcado_Dist!$A:$ZZ, 0, MATCH(O$2, Volcado_Dist!$1:$1, 0))), 0)</f>
        <v>0</v>
      </c>
      <c r="P41" s="16">
        <f>IFERROR(INDEX(Volcado_Dist!$A:$ZZ, MATCH($B41, Volcado_Dist!$A:$A, 0), MATCH(P$2, Volcado_Dist!$1:$1, 0)) / SUM(INDEX(Volcado_Dist!$A:$ZZ, 0, MATCH(P$2, Volcado_Dist!$1:$1, 0))), 0)</f>
        <v>4.7464768691173775E-4</v>
      </c>
      <c r="Q41" s="16">
        <f>IFERROR(INDEX(Volcado_Dist!$A:$ZZ, MATCH($B41, Volcado_Dist!$A:$A, 0), MATCH(Q$2, Volcado_Dist!$1:$1, 0)) / SUM(INDEX(Volcado_Dist!$A:$ZZ, 0, MATCH(Q$2, Volcado_Dist!$1:$1, 0))), 0)</f>
        <v>-2.5519265987623249E-4</v>
      </c>
      <c r="R41" s="16">
        <f>IFERROR(INDEX(Volcado_Dist!$A:$ZZ, MATCH($B41, Volcado_Dist!$A:$A, 0), MATCH(R$2, Volcado_Dist!$1:$1, 0)) / SUM(INDEX(Volcado_Dist!$A:$ZZ, 0, MATCH(R$2, Volcado_Dist!$1:$1, 0))), 0)</f>
        <v>0</v>
      </c>
      <c r="S41" s="16">
        <f>IFERROR(INDEX(Volcado_Dist!$A:$ZZ, MATCH($B41, Volcado_Dist!$A:$A, 0), MATCH(S$2, Volcado_Dist!$1:$1, 0)) / SUM(INDEX(Volcado_Dist!$A:$ZZ, 0, MATCH(S$2, Volcado_Dist!$1:$1, 0))), 0)</f>
        <v>1.2998038188222118E-3</v>
      </c>
      <c r="T41" s="16">
        <f>IFERROR(INDEX(Volcado_Dist!$A:$ZZ, MATCH($B41, Volcado_Dist!$A:$A, 0), MATCH(T$2, Volcado_Dist!$1:$1, 0)) / SUM(INDEX(Volcado_Dist!$A:$ZZ, 0, MATCH(T$2, Volcado_Dist!$1:$1, 0))), 0)</f>
        <v>8.1294930984192144E-6</v>
      </c>
      <c r="U41" s="16">
        <f>IFERROR(INDEX(Volcado_Dist!$A:$ZZ, MATCH($B41, Volcado_Dist!$A:$A, 0), MATCH(U$2, Volcado_Dist!$1:$1, 0)) / SUM(INDEX(Volcado_Dist!$A:$ZZ, 0, MATCH(U$2, Volcado_Dist!$1:$1, 0))), 0)</f>
        <v>0</v>
      </c>
      <c r="V41" s="16">
        <f>IFERROR(INDEX(Volcado_Dist!$A:$ZZ, MATCH($B41, Volcado_Dist!$A:$A, 0), MATCH(V$2, Volcado_Dist!$1:$1, 0)) / SUM(INDEX(Volcado_Dist!$A:$ZZ, 0, MATCH(V$2, Volcado_Dist!$1:$1, 0))), 0)</f>
        <v>3.1460409364461456E-3</v>
      </c>
      <c r="W41" s="16">
        <f t="shared" si="1"/>
        <v>7.1630768000758281E-4</v>
      </c>
      <c r="X41" s="17">
        <f>IFERROR(SUM(_xlfn.XLOOKUP($B41, Volcado_Vend!$A:$A, Volcado_Vend!$C:$ZZ, 0)) / SUM(Volcado_Vend!$C:$ZZ), 0)</f>
        <v>0</v>
      </c>
      <c r="Y41" s="24">
        <f t="shared" si="0"/>
        <v>3.581538400037914E-4</v>
      </c>
    </row>
    <row r="42" spans="2:25" x14ac:dyDescent="0.25">
      <c r="B42" s="15" t="s">
        <v>66</v>
      </c>
      <c r="C42" s="16">
        <f>IFERROR(INDEX(Volcado_Dist!$A:$ZZ, MATCH($B42, Volcado_Dist!$A:$A, 0), MATCH(C$2, Volcado_Dist!$1:$1, 0)) / SUM(INDEX(Volcado_Dist!$A:$ZZ, 0, MATCH(C$2, Volcado_Dist!$1:$1, 0))), 0)</f>
        <v>0</v>
      </c>
      <c r="D42" s="16">
        <f>IFERROR(INDEX(Volcado_Dist!$A:$ZZ, MATCH($B42, Volcado_Dist!$A:$A, 0), MATCH(D$2, Volcado_Dist!$1:$1, 0)) / SUM(INDEX(Volcado_Dist!$A:$ZZ, 0, MATCH(D$2, Volcado_Dist!$1:$1, 0))), 0)</f>
        <v>0</v>
      </c>
      <c r="E42" s="16">
        <f>IFERROR(INDEX(Volcado_Dist!$A:$ZZ, MATCH($B42, Volcado_Dist!$A:$A, 0), MATCH(E$2, Volcado_Dist!$1:$1, 0)) / SUM(INDEX(Volcado_Dist!$A:$ZZ, 0, MATCH(E$2, Volcado_Dist!$1:$1, 0))), 0)</f>
        <v>0</v>
      </c>
      <c r="F42" s="16">
        <f>IFERROR(INDEX(Volcado_Dist!$A:$ZZ, MATCH($B42, Volcado_Dist!$A:$A, 0), MATCH(F$2, Volcado_Dist!$1:$1, 0)) / SUM(INDEX(Volcado_Dist!$A:$ZZ, 0, MATCH(F$2, Volcado_Dist!$1:$1, 0))), 0)</f>
        <v>0</v>
      </c>
      <c r="G42" s="16">
        <f>IFERROR(INDEX(Volcado_Dist!$A:$ZZ, MATCH($B42, Volcado_Dist!$A:$A, 0), MATCH(G$2, Volcado_Dist!$1:$1, 0)) / SUM(INDEX(Volcado_Dist!$A:$ZZ, 0, MATCH(G$2, Volcado_Dist!$1:$1, 0))), 0)</f>
        <v>0</v>
      </c>
      <c r="H42" s="16">
        <f>IFERROR(INDEX(Volcado_Dist!$A:$ZZ, MATCH($B42, Volcado_Dist!$A:$A, 0), MATCH(H$2, Volcado_Dist!$1:$1, 0)) / SUM(INDEX(Volcado_Dist!$A:$ZZ, 0, MATCH(H$2, Volcado_Dist!$1:$1, 0))), 0)</f>
        <v>0</v>
      </c>
      <c r="I42" s="16">
        <f>IFERROR(INDEX(Volcado_Dist!$A:$ZZ, MATCH($B42, Volcado_Dist!$A:$A, 0), MATCH(I$2, Volcado_Dist!$1:$1, 0)) / SUM(INDEX(Volcado_Dist!$A:$ZZ, 0, MATCH(I$2, Volcado_Dist!$1:$1, 0))), 0)</f>
        <v>5.0922061923858056E-4</v>
      </c>
      <c r="J42" s="16">
        <f>IFERROR(INDEX(Volcado_Dist!$A:$ZZ, MATCH($B42, Volcado_Dist!$A:$A, 0), MATCH(J$2, Volcado_Dist!$1:$1, 0)) / SUM(INDEX(Volcado_Dist!$A:$ZZ, 0, MATCH(J$2, Volcado_Dist!$1:$1, 0))), 0)</f>
        <v>0</v>
      </c>
      <c r="K42" s="16">
        <f>IFERROR(INDEX(Volcado_Dist!$A:$ZZ, MATCH($B42, Volcado_Dist!$A:$A, 0), MATCH(K$2, Volcado_Dist!$1:$1, 0)) / SUM(INDEX(Volcado_Dist!$A:$ZZ, 0, MATCH(K$2, Volcado_Dist!$1:$1, 0))), 0)</f>
        <v>6.1235469294910723E-4</v>
      </c>
      <c r="L42" s="16">
        <f>IFERROR(INDEX(Volcado_Dist!$A:$ZZ, MATCH($B42, Volcado_Dist!$A:$A, 0), MATCH(L$2, Volcado_Dist!$1:$1, 0)) / SUM(INDEX(Volcado_Dist!$A:$ZZ, 0, MATCH(L$2, Volcado_Dist!$1:$1, 0))), 0)</f>
        <v>1.1605766931766825E-3</v>
      </c>
      <c r="M42" s="16">
        <f>IFERROR(INDEX(Volcado_Dist!$A:$ZZ, MATCH($B42, Volcado_Dist!$A:$A, 0), MATCH(M$2, Volcado_Dist!$1:$1, 0)) / SUM(INDEX(Volcado_Dist!$A:$ZZ, 0, MATCH(M$2, Volcado_Dist!$1:$1, 0))), 0)</f>
        <v>0</v>
      </c>
      <c r="N42" s="16">
        <f>IFERROR(INDEX(Volcado_Dist!$A:$ZZ, MATCH($B42, Volcado_Dist!$A:$A, 0), MATCH(N$2, Volcado_Dist!$1:$1, 0)) / SUM(INDEX(Volcado_Dist!$A:$ZZ, 0, MATCH(N$2, Volcado_Dist!$1:$1, 0))), 0)</f>
        <v>0</v>
      </c>
      <c r="O42" s="16">
        <f>IFERROR(INDEX(Volcado_Dist!$A:$ZZ, MATCH($B42, Volcado_Dist!$A:$A, 0), MATCH(O$2, Volcado_Dist!$1:$1, 0)) / SUM(INDEX(Volcado_Dist!$A:$ZZ, 0, MATCH(O$2, Volcado_Dist!$1:$1, 0))), 0)</f>
        <v>0</v>
      </c>
      <c r="P42" s="16">
        <f>IFERROR(INDEX(Volcado_Dist!$A:$ZZ, MATCH($B42, Volcado_Dist!$A:$A, 0), MATCH(P$2, Volcado_Dist!$1:$1, 0)) / SUM(INDEX(Volcado_Dist!$A:$ZZ, 0, MATCH(P$2, Volcado_Dist!$1:$1, 0))), 0)</f>
        <v>3.2116474541748645E-5</v>
      </c>
      <c r="Q42" s="16">
        <f>IFERROR(INDEX(Volcado_Dist!$A:$ZZ, MATCH($B42, Volcado_Dist!$A:$A, 0), MATCH(Q$2, Volcado_Dist!$1:$1, 0)) / SUM(INDEX(Volcado_Dist!$A:$ZZ, 0, MATCH(Q$2, Volcado_Dist!$1:$1, 0))), 0)</f>
        <v>0</v>
      </c>
      <c r="R42" s="16">
        <f>IFERROR(INDEX(Volcado_Dist!$A:$ZZ, MATCH($B42, Volcado_Dist!$A:$A, 0), MATCH(R$2, Volcado_Dist!$1:$1, 0)) / SUM(INDEX(Volcado_Dist!$A:$ZZ, 0, MATCH(R$2, Volcado_Dist!$1:$1, 0))), 0)</f>
        <v>0</v>
      </c>
      <c r="S42" s="16">
        <f>IFERROR(INDEX(Volcado_Dist!$A:$ZZ, MATCH($B42, Volcado_Dist!$A:$A, 0), MATCH(S$2, Volcado_Dist!$1:$1, 0)) / SUM(INDEX(Volcado_Dist!$A:$ZZ, 0, MATCH(S$2, Volcado_Dist!$1:$1, 0))), 0)</f>
        <v>0</v>
      </c>
      <c r="T42" s="16">
        <f>IFERROR(INDEX(Volcado_Dist!$A:$ZZ, MATCH($B42, Volcado_Dist!$A:$A, 0), MATCH(T$2, Volcado_Dist!$1:$1, 0)) / SUM(INDEX(Volcado_Dist!$A:$ZZ, 0, MATCH(T$2, Volcado_Dist!$1:$1, 0))), 0)</f>
        <v>0</v>
      </c>
      <c r="U42" s="16">
        <f>IFERROR(INDEX(Volcado_Dist!$A:$ZZ, MATCH($B42, Volcado_Dist!$A:$A, 0), MATCH(U$2, Volcado_Dist!$1:$1, 0)) / SUM(INDEX(Volcado_Dist!$A:$ZZ, 0, MATCH(U$2, Volcado_Dist!$1:$1, 0))), 0)</f>
        <v>0</v>
      </c>
      <c r="V42" s="16">
        <f>IFERROR(INDEX(Volcado_Dist!$A:$ZZ, MATCH($B42, Volcado_Dist!$A:$A, 0), MATCH(V$2, Volcado_Dist!$1:$1, 0)) / SUM(INDEX(Volcado_Dist!$A:$ZZ, 0, MATCH(V$2, Volcado_Dist!$1:$1, 0))), 0)</f>
        <v>0</v>
      </c>
      <c r="W42" s="16">
        <f t="shared" si="1"/>
        <v>1.1571342399530595E-4</v>
      </c>
      <c r="X42" s="17">
        <f>IFERROR(SUM(_xlfn.XLOOKUP($B42, Volcado_Vend!$A:$A, Volcado_Vend!$C:$ZZ, 0)) / SUM(Volcado_Vend!$C:$ZZ), 0)</f>
        <v>0</v>
      </c>
      <c r="Y42" s="24">
        <f t="shared" si="0"/>
        <v>5.7856711997652977E-5</v>
      </c>
    </row>
    <row r="43" spans="2:25" x14ac:dyDescent="0.25">
      <c r="B43" s="15" t="s">
        <v>67</v>
      </c>
      <c r="C43" s="16">
        <f>IFERROR(INDEX(Volcado_Dist!$A:$ZZ, MATCH($B43, Volcado_Dist!$A:$A, 0), MATCH(C$2, Volcado_Dist!$1:$1, 0)) / SUM(INDEX(Volcado_Dist!$A:$ZZ, 0, MATCH(C$2, Volcado_Dist!$1:$1, 0))), 0)</f>
        <v>0</v>
      </c>
      <c r="D43" s="16">
        <f>IFERROR(INDEX(Volcado_Dist!$A:$ZZ, MATCH($B43, Volcado_Dist!$A:$A, 0), MATCH(D$2, Volcado_Dist!$1:$1, 0)) / SUM(INDEX(Volcado_Dist!$A:$ZZ, 0, MATCH(D$2, Volcado_Dist!$1:$1, 0))), 0)</f>
        <v>0</v>
      </c>
      <c r="E43" s="16">
        <f>IFERROR(INDEX(Volcado_Dist!$A:$ZZ, MATCH($B43, Volcado_Dist!$A:$A, 0), MATCH(E$2, Volcado_Dist!$1:$1, 0)) / SUM(INDEX(Volcado_Dist!$A:$ZZ, 0, MATCH(E$2, Volcado_Dist!$1:$1, 0))), 0)</f>
        <v>0</v>
      </c>
      <c r="F43" s="16">
        <f>IFERROR(INDEX(Volcado_Dist!$A:$ZZ, MATCH($B43, Volcado_Dist!$A:$A, 0), MATCH(F$2, Volcado_Dist!$1:$1, 0)) / SUM(INDEX(Volcado_Dist!$A:$ZZ, 0, MATCH(F$2, Volcado_Dist!$1:$1, 0))), 0)</f>
        <v>-3.0280294539702915E-5</v>
      </c>
      <c r="G43" s="16">
        <f>IFERROR(INDEX(Volcado_Dist!$A:$ZZ, MATCH($B43, Volcado_Dist!$A:$A, 0), MATCH(G$2, Volcado_Dist!$1:$1, 0)) / SUM(INDEX(Volcado_Dist!$A:$ZZ, 0, MATCH(G$2, Volcado_Dist!$1:$1, 0))), 0)</f>
        <v>0</v>
      </c>
      <c r="H43" s="16">
        <f>IFERROR(INDEX(Volcado_Dist!$A:$ZZ, MATCH($B43, Volcado_Dist!$A:$A, 0), MATCH(H$2, Volcado_Dist!$1:$1, 0)) / SUM(INDEX(Volcado_Dist!$A:$ZZ, 0, MATCH(H$2, Volcado_Dist!$1:$1, 0))), 0)</f>
        <v>0</v>
      </c>
      <c r="I43" s="16">
        <f>IFERROR(INDEX(Volcado_Dist!$A:$ZZ, MATCH($B43, Volcado_Dist!$A:$A, 0), MATCH(I$2, Volcado_Dist!$1:$1, 0)) / SUM(INDEX(Volcado_Dist!$A:$ZZ, 0, MATCH(I$2, Volcado_Dist!$1:$1, 0))), 0)</f>
        <v>-1.4418720312565742E-3</v>
      </c>
      <c r="J43" s="16">
        <f>IFERROR(INDEX(Volcado_Dist!$A:$ZZ, MATCH($B43, Volcado_Dist!$A:$A, 0), MATCH(J$2, Volcado_Dist!$1:$1, 0)) / SUM(INDEX(Volcado_Dist!$A:$ZZ, 0, MATCH(J$2, Volcado_Dist!$1:$1, 0))), 0)</f>
        <v>0</v>
      </c>
      <c r="K43" s="16">
        <f>IFERROR(INDEX(Volcado_Dist!$A:$ZZ, MATCH($B43, Volcado_Dist!$A:$A, 0), MATCH(K$2, Volcado_Dist!$1:$1, 0)) / SUM(INDEX(Volcado_Dist!$A:$ZZ, 0, MATCH(K$2, Volcado_Dist!$1:$1, 0))), 0)</f>
        <v>-6.0430376628222012E-4</v>
      </c>
      <c r="L43" s="16">
        <f>IFERROR(INDEX(Volcado_Dist!$A:$ZZ, MATCH($B43, Volcado_Dist!$A:$A, 0), MATCH(L$2, Volcado_Dist!$1:$1, 0)) / SUM(INDEX(Volcado_Dist!$A:$ZZ, 0, MATCH(L$2, Volcado_Dist!$1:$1, 0))), 0)</f>
        <v>-3.1593476647587471E-4</v>
      </c>
      <c r="M43" s="16">
        <f>IFERROR(INDEX(Volcado_Dist!$A:$ZZ, MATCH($B43, Volcado_Dist!$A:$A, 0), MATCH(M$2, Volcado_Dist!$1:$1, 0)) / SUM(INDEX(Volcado_Dist!$A:$ZZ, 0, MATCH(M$2, Volcado_Dist!$1:$1, 0))), 0)</f>
        <v>-5.1720719772371489E-4</v>
      </c>
      <c r="N43" s="16">
        <f>IFERROR(INDEX(Volcado_Dist!$A:$ZZ, MATCH($B43, Volcado_Dist!$A:$A, 0), MATCH(N$2, Volcado_Dist!$1:$1, 0)) / SUM(INDEX(Volcado_Dist!$A:$ZZ, 0, MATCH(N$2, Volcado_Dist!$1:$1, 0))), 0)</f>
        <v>0</v>
      </c>
      <c r="O43" s="16">
        <f>IFERROR(INDEX(Volcado_Dist!$A:$ZZ, MATCH($B43, Volcado_Dist!$A:$A, 0), MATCH(O$2, Volcado_Dist!$1:$1, 0)) / SUM(INDEX(Volcado_Dist!$A:$ZZ, 0, MATCH(O$2, Volcado_Dist!$1:$1, 0))), 0)</f>
        <v>0</v>
      </c>
      <c r="P43" s="16">
        <f>IFERROR(INDEX(Volcado_Dist!$A:$ZZ, MATCH($B43, Volcado_Dist!$A:$A, 0), MATCH(P$2, Volcado_Dist!$1:$1, 0)) / SUM(INDEX(Volcado_Dist!$A:$ZZ, 0, MATCH(P$2, Volcado_Dist!$1:$1, 0))), 0)</f>
        <v>-7.6234368517519142E-5</v>
      </c>
      <c r="Q43" s="16">
        <f>IFERROR(INDEX(Volcado_Dist!$A:$ZZ, MATCH($B43, Volcado_Dist!$A:$A, 0), MATCH(Q$2, Volcado_Dist!$1:$1, 0)) / SUM(INDEX(Volcado_Dist!$A:$ZZ, 0, MATCH(Q$2, Volcado_Dist!$1:$1, 0))), 0)</f>
        <v>0</v>
      </c>
      <c r="R43" s="16">
        <f>IFERROR(INDEX(Volcado_Dist!$A:$ZZ, MATCH($B43, Volcado_Dist!$A:$A, 0), MATCH(R$2, Volcado_Dist!$1:$1, 0)) / SUM(INDEX(Volcado_Dist!$A:$ZZ, 0, MATCH(R$2, Volcado_Dist!$1:$1, 0))), 0)</f>
        <v>0</v>
      </c>
      <c r="S43" s="16">
        <f>IFERROR(INDEX(Volcado_Dist!$A:$ZZ, MATCH($B43, Volcado_Dist!$A:$A, 0), MATCH(S$2, Volcado_Dist!$1:$1, 0)) / SUM(INDEX(Volcado_Dist!$A:$ZZ, 0, MATCH(S$2, Volcado_Dist!$1:$1, 0))), 0)</f>
        <v>-1.2243569576482136E-5</v>
      </c>
      <c r="T43" s="16">
        <f>IFERROR(INDEX(Volcado_Dist!$A:$ZZ, MATCH($B43, Volcado_Dist!$A:$A, 0), MATCH(T$2, Volcado_Dist!$1:$1, 0)) / SUM(INDEX(Volcado_Dist!$A:$ZZ, 0, MATCH(T$2, Volcado_Dist!$1:$1, 0))), 0)</f>
        <v>-6.3998137157768283E-6</v>
      </c>
      <c r="U43" s="16">
        <f>IFERROR(INDEX(Volcado_Dist!$A:$ZZ, MATCH($B43, Volcado_Dist!$A:$A, 0), MATCH(U$2, Volcado_Dist!$1:$1, 0)) / SUM(INDEX(Volcado_Dist!$A:$ZZ, 0, MATCH(U$2, Volcado_Dist!$1:$1, 0))), 0)</f>
        <v>0</v>
      </c>
      <c r="V43" s="16">
        <f>IFERROR(INDEX(Volcado_Dist!$A:$ZZ, MATCH($B43, Volcado_Dist!$A:$A, 0), MATCH(V$2, Volcado_Dist!$1:$1, 0)) / SUM(INDEX(Volcado_Dist!$A:$ZZ, 0, MATCH(V$2, Volcado_Dist!$1:$1, 0))), 0)</f>
        <v>0</v>
      </c>
      <c r="W43" s="16">
        <f t="shared" si="1"/>
        <v>-1.5022379040439325E-4</v>
      </c>
      <c r="X43" s="17">
        <f>IFERROR(SUM(_xlfn.XLOOKUP($B43, Volcado_Vend!$A:$A, Volcado_Vend!$C:$ZZ, 0)) / SUM(Volcado_Vend!$C:$ZZ), 0)</f>
        <v>-7.7358576363215352E-4</v>
      </c>
      <c r="Y43" s="24">
        <f t="shared" si="0"/>
        <v>-4.6190477701827336E-4</v>
      </c>
    </row>
    <row r="44" spans="2:25" x14ac:dyDescent="0.25">
      <c r="B44" s="15" t="s">
        <v>68</v>
      </c>
      <c r="C44" s="16">
        <f>IFERROR(INDEX(Volcado_Dist!$A:$ZZ, MATCH($B44, Volcado_Dist!$A:$A, 0), MATCH(C$2, Volcado_Dist!$1:$1, 0)) / SUM(INDEX(Volcado_Dist!$A:$ZZ, 0, MATCH(C$2, Volcado_Dist!$1:$1, 0))), 0)</f>
        <v>8.1911740217018112E-3</v>
      </c>
      <c r="D44" s="16">
        <f>IFERROR(INDEX(Volcado_Dist!$A:$ZZ, MATCH($B44, Volcado_Dist!$A:$A, 0), MATCH(D$2, Volcado_Dist!$1:$1, 0)) / SUM(INDEX(Volcado_Dist!$A:$ZZ, 0, MATCH(D$2, Volcado_Dist!$1:$1, 0))), 0)</f>
        <v>0</v>
      </c>
      <c r="E44" s="16">
        <f>IFERROR(INDEX(Volcado_Dist!$A:$ZZ, MATCH($B44, Volcado_Dist!$A:$A, 0), MATCH(E$2, Volcado_Dist!$1:$1, 0)) / SUM(INDEX(Volcado_Dist!$A:$ZZ, 0, MATCH(E$2, Volcado_Dist!$1:$1, 0))), 0)</f>
        <v>5.8924427115431685E-3</v>
      </c>
      <c r="F44" s="16">
        <f>IFERROR(INDEX(Volcado_Dist!$A:$ZZ, MATCH($B44, Volcado_Dist!$A:$A, 0), MATCH(F$2, Volcado_Dist!$1:$1, 0)) / SUM(INDEX(Volcado_Dist!$A:$ZZ, 0, MATCH(F$2, Volcado_Dist!$1:$1, 0))), 0)</f>
        <v>3.1136495971515214E-3</v>
      </c>
      <c r="G44" s="16">
        <f>IFERROR(INDEX(Volcado_Dist!$A:$ZZ, MATCH($B44, Volcado_Dist!$A:$A, 0), MATCH(G$2, Volcado_Dist!$1:$1, 0)) / SUM(INDEX(Volcado_Dist!$A:$ZZ, 0, MATCH(G$2, Volcado_Dist!$1:$1, 0))), 0)</f>
        <v>0</v>
      </c>
      <c r="H44" s="16">
        <f>IFERROR(INDEX(Volcado_Dist!$A:$ZZ, MATCH($B44, Volcado_Dist!$A:$A, 0), MATCH(H$2, Volcado_Dist!$1:$1, 0)) / SUM(INDEX(Volcado_Dist!$A:$ZZ, 0, MATCH(H$2, Volcado_Dist!$1:$1, 0))), 0)</f>
        <v>0</v>
      </c>
      <c r="I44" s="16">
        <f>IFERROR(INDEX(Volcado_Dist!$A:$ZZ, MATCH($B44, Volcado_Dist!$A:$A, 0), MATCH(I$2, Volcado_Dist!$1:$1, 0)) / SUM(INDEX(Volcado_Dist!$A:$ZZ, 0, MATCH(I$2, Volcado_Dist!$1:$1, 0))), 0)</f>
        <v>3.7123081898756518E-5</v>
      </c>
      <c r="J44" s="16">
        <f>IFERROR(INDEX(Volcado_Dist!$A:$ZZ, MATCH($B44, Volcado_Dist!$A:$A, 0), MATCH(J$2, Volcado_Dist!$1:$1, 0)) / SUM(INDEX(Volcado_Dist!$A:$ZZ, 0, MATCH(J$2, Volcado_Dist!$1:$1, 0))), 0)</f>
        <v>0</v>
      </c>
      <c r="K44" s="16">
        <f>IFERROR(INDEX(Volcado_Dist!$A:$ZZ, MATCH($B44, Volcado_Dist!$A:$A, 0), MATCH(K$2, Volcado_Dist!$1:$1, 0)) / SUM(INDEX(Volcado_Dist!$A:$ZZ, 0, MATCH(K$2, Volcado_Dist!$1:$1, 0))), 0)</f>
        <v>9.4634708305850826E-4</v>
      </c>
      <c r="L44" s="16">
        <f>IFERROR(INDEX(Volcado_Dist!$A:$ZZ, MATCH($B44, Volcado_Dist!$A:$A, 0), MATCH(L$2, Volcado_Dist!$1:$1, 0)) / SUM(INDEX(Volcado_Dist!$A:$ZZ, 0, MATCH(L$2, Volcado_Dist!$1:$1, 0))), 0)</f>
        <v>1.6899625532221867E-3</v>
      </c>
      <c r="M44" s="16">
        <f>IFERROR(INDEX(Volcado_Dist!$A:$ZZ, MATCH($B44, Volcado_Dist!$A:$A, 0), MATCH(M$2, Volcado_Dist!$1:$1, 0)) / SUM(INDEX(Volcado_Dist!$A:$ZZ, 0, MATCH(M$2, Volcado_Dist!$1:$1, 0))), 0)</f>
        <v>4.9744399585947528E-3</v>
      </c>
      <c r="N44" s="16">
        <f>IFERROR(INDEX(Volcado_Dist!$A:$ZZ, MATCH($B44, Volcado_Dist!$A:$A, 0), MATCH(N$2, Volcado_Dist!$1:$1, 0)) / SUM(INDEX(Volcado_Dist!$A:$ZZ, 0, MATCH(N$2, Volcado_Dist!$1:$1, 0))), 0)</f>
        <v>0</v>
      </c>
      <c r="O44" s="16">
        <f>IFERROR(INDEX(Volcado_Dist!$A:$ZZ, MATCH($B44, Volcado_Dist!$A:$A, 0), MATCH(O$2, Volcado_Dist!$1:$1, 0)) / SUM(INDEX(Volcado_Dist!$A:$ZZ, 0, MATCH(O$2, Volcado_Dist!$1:$1, 0))), 0)</f>
        <v>1.4804753000618445E-3</v>
      </c>
      <c r="P44" s="16">
        <f>IFERROR(INDEX(Volcado_Dist!$A:$ZZ, MATCH($B44, Volcado_Dist!$A:$A, 0), MATCH(P$2, Volcado_Dist!$1:$1, 0)) / SUM(INDEX(Volcado_Dist!$A:$ZZ, 0, MATCH(P$2, Volcado_Dist!$1:$1, 0))), 0)</f>
        <v>-1.4689061250936614E-4</v>
      </c>
      <c r="Q44" s="16">
        <f>IFERROR(INDEX(Volcado_Dist!$A:$ZZ, MATCH($B44, Volcado_Dist!$A:$A, 0), MATCH(Q$2, Volcado_Dist!$1:$1, 0)) / SUM(INDEX(Volcado_Dist!$A:$ZZ, 0, MATCH(Q$2, Volcado_Dist!$1:$1, 0))), 0)</f>
        <v>0</v>
      </c>
      <c r="R44" s="16">
        <f>IFERROR(INDEX(Volcado_Dist!$A:$ZZ, MATCH($B44, Volcado_Dist!$A:$A, 0), MATCH(R$2, Volcado_Dist!$1:$1, 0)) / SUM(INDEX(Volcado_Dist!$A:$ZZ, 0, MATCH(R$2, Volcado_Dist!$1:$1, 0))), 0)</f>
        <v>0</v>
      </c>
      <c r="S44" s="16">
        <f>IFERROR(INDEX(Volcado_Dist!$A:$ZZ, MATCH($B44, Volcado_Dist!$A:$A, 0), MATCH(S$2, Volcado_Dist!$1:$1, 0)) / SUM(INDEX(Volcado_Dist!$A:$ZZ, 0, MATCH(S$2, Volcado_Dist!$1:$1, 0))), 0)</f>
        <v>5.4930609451244175E-5</v>
      </c>
      <c r="T44" s="16">
        <f>IFERROR(INDEX(Volcado_Dist!$A:$ZZ, MATCH($B44, Volcado_Dist!$A:$A, 0), MATCH(T$2, Volcado_Dist!$1:$1, 0)) / SUM(INDEX(Volcado_Dist!$A:$ZZ, 0, MATCH(T$2, Volcado_Dist!$1:$1, 0))), 0)</f>
        <v>3.6872440239479063E-3</v>
      </c>
      <c r="U44" s="16">
        <f>IFERROR(INDEX(Volcado_Dist!$A:$ZZ, MATCH($B44, Volcado_Dist!$A:$A, 0), MATCH(U$2, Volcado_Dist!$1:$1, 0)) / SUM(INDEX(Volcado_Dist!$A:$ZZ, 0, MATCH(U$2, Volcado_Dist!$1:$1, 0))), 0)</f>
        <v>0</v>
      </c>
      <c r="V44" s="16">
        <f>IFERROR(INDEX(Volcado_Dist!$A:$ZZ, MATCH($B44, Volcado_Dist!$A:$A, 0), MATCH(V$2, Volcado_Dist!$1:$1, 0)) / SUM(INDEX(Volcado_Dist!$A:$ZZ, 0, MATCH(V$2, Volcado_Dist!$1:$1, 0))), 0)</f>
        <v>6.7248601172903476E-4</v>
      </c>
      <c r="W44" s="16">
        <f t="shared" si="1"/>
        <v>1.5296692169925684E-3</v>
      </c>
      <c r="X44" s="17">
        <f>IFERROR(SUM(_xlfn.XLOOKUP($B44, Volcado_Vend!$A:$A, Volcado_Vend!$C:$ZZ, 0)) / SUM(Volcado_Vend!$C:$ZZ), 0)</f>
        <v>1.3106259948493263E-3</v>
      </c>
      <c r="Y44" s="24">
        <f t="shared" si="0"/>
        <v>1.4201476059209474E-3</v>
      </c>
    </row>
    <row r="45" spans="2:25" x14ac:dyDescent="0.25">
      <c r="B45" s="15" t="s">
        <v>69</v>
      </c>
      <c r="C45" s="16">
        <f>IFERROR(INDEX(Volcado_Dist!$A:$ZZ, MATCH($B45, Volcado_Dist!$A:$A, 0), MATCH(C$2, Volcado_Dist!$1:$1, 0)) / SUM(INDEX(Volcado_Dist!$A:$ZZ, 0, MATCH(C$2, Volcado_Dist!$1:$1, 0))), 0)</f>
        <v>0</v>
      </c>
      <c r="D45" s="16">
        <f>IFERROR(INDEX(Volcado_Dist!$A:$ZZ, MATCH($B45, Volcado_Dist!$A:$A, 0), MATCH(D$2, Volcado_Dist!$1:$1, 0)) / SUM(INDEX(Volcado_Dist!$A:$ZZ, 0, MATCH(D$2, Volcado_Dist!$1:$1, 0))), 0)</f>
        <v>0</v>
      </c>
      <c r="E45" s="16">
        <f>IFERROR(INDEX(Volcado_Dist!$A:$ZZ, MATCH($B45, Volcado_Dist!$A:$A, 0), MATCH(E$2, Volcado_Dist!$1:$1, 0)) / SUM(INDEX(Volcado_Dist!$A:$ZZ, 0, MATCH(E$2, Volcado_Dist!$1:$1, 0))), 0)</f>
        <v>0</v>
      </c>
      <c r="F45" s="16">
        <f>IFERROR(INDEX(Volcado_Dist!$A:$ZZ, MATCH($B45, Volcado_Dist!$A:$A, 0), MATCH(F$2, Volcado_Dist!$1:$1, 0)) / SUM(INDEX(Volcado_Dist!$A:$ZZ, 0, MATCH(F$2, Volcado_Dist!$1:$1, 0))), 0)</f>
        <v>0</v>
      </c>
      <c r="G45" s="16">
        <f>IFERROR(INDEX(Volcado_Dist!$A:$ZZ, MATCH($B45, Volcado_Dist!$A:$A, 0), MATCH(G$2, Volcado_Dist!$1:$1, 0)) / SUM(INDEX(Volcado_Dist!$A:$ZZ, 0, MATCH(G$2, Volcado_Dist!$1:$1, 0))), 0)</f>
        <v>0</v>
      </c>
      <c r="H45" s="16">
        <f>IFERROR(INDEX(Volcado_Dist!$A:$ZZ, MATCH($B45, Volcado_Dist!$A:$A, 0), MATCH(H$2, Volcado_Dist!$1:$1, 0)) / SUM(INDEX(Volcado_Dist!$A:$ZZ, 0, MATCH(H$2, Volcado_Dist!$1:$1, 0))), 0)</f>
        <v>0</v>
      </c>
      <c r="I45" s="16">
        <f>IFERROR(INDEX(Volcado_Dist!$A:$ZZ, MATCH($B45, Volcado_Dist!$A:$A, 0), MATCH(I$2, Volcado_Dist!$1:$1, 0)) / SUM(INDEX(Volcado_Dist!$A:$ZZ, 0, MATCH(I$2, Volcado_Dist!$1:$1, 0))), 0)</f>
        <v>6.5013259760802328E-4</v>
      </c>
      <c r="J45" s="16">
        <f>IFERROR(INDEX(Volcado_Dist!$A:$ZZ, MATCH($B45, Volcado_Dist!$A:$A, 0), MATCH(J$2, Volcado_Dist!$1:$1, 0)) / SUM(INDEX(Volcado_Dist!$A:$ZZ, 0, MATCH(J$2, Volcado_Dist!$1:$1, 0))), 0)</f>
        <v>0</v>
      </c>
      <c r="K45" s="16">
        <f>IFERROR(INDEX(Volcado_Dist!$A:$ZZ, MATCH($B45, Volcado_Dist!$A:$A, 0), MATCH(K$2, Volcado_Dist!$1:$1, 0)) / SUM(INDEX(Volcado_Dist!$A:$ZZ, 0, MATCH(K$2, Volcado_Dist!$1:$1, 0))), 0)</f>
        <v>2.5278699068361724E-4</v>
      </c>
      <c r="L45" s="16">
        <f>IFERROR(INDEX(Volcado_Dist!$A:$ZZ, MATCH($B45, Volcado_Dist!$A:$A, 0), MATCH(L$2, Volcado_Dist!$1:$1, 0)) / SUM(INDEX(Volcado_Dist!$A:$ZZ, 0, MATCH(L$2, Volcado_Dist!$1:$1, 0))), 0)</f>
        <v>0</v>
      </c>
      <c r="M45" s="16">
        <f>IFERROR(INDEX(Volcado_Dist!$A:$ZZ, MATCH($B45, Volcado_Dist!$A:$A, 0), MATCH(M$2, Volcado_Dist!$1:$1, 0)) / SUM(INDEX(Volcado_Dist!$A:$ZZ, 0, MATCH(M$2, Volcado_Dist!$1:$1, 0))), 0)</f>
        <v>0</v>
      </c>
      <c r="N45" s="16">
        <f>IFERROR(INDEX(Volcado_Dist!$A:$ZZ, MATCH($B45, Volcado_Dist!$A:$A, 0), MATCH(N$2, Volcado_Dist!$1:$1, 0)) / SUM(INDEX(Volcado_Dist!$A:$ZZ, 0, MATCH(N$2, Volcado_Dist!$1:$1, 0))), 0)</f>
        <v>0</v>
      </c>
      <c r="O45" s="16">
        <f>IFERROR(INDEX(Volcado_Dist!$A:$ZZ, MATCH($B45, Volcado_Dist!$A:$A, 0), MATCH(O$2, Volcado_Dist!$1:$1, 0)) / SUM(INDEX(Volcado_Dist!$A:$ZZ, 0, MATCH(O$2, Volcado_Dist!$1:$1, 0))), 0)</f>
        <v>0</v>
      </c>
      <c r="P45" s="16">
        <f>IFERROR(INDEX(Volcado_Dist!$A:$ZZ, MATCH($B45, Volcado_Dist!$A:$A, 0), MATCH(P$2, Volcado_Dist!$1:$1, 0)) / SUM(INDEX(Volcado_Dist!$A:$ZZ, 0, MATCH(P$2, Volcado_Dist!$1:$1, 0))), 0)</f>
        <v>3.8742610341940993E-4</v>
      </c>
      <c r="Q45" s="16">
        <f>IFERROR(INDEX(Volcado_Dist!$A:$ZZ, MATCH($B45, Volcado_Dist!$A:$A, 0), MATCH(Q$2, Volcado_Dist!$1:$1, 0)) / SUM(INDEX(Volcado_Dist!$A:$ZZ, 0, MATCH(Q$2, Volcado_Dist!$1:$1, 0))), 0)</f>
        <v>0</v>
      </c>
      <c r="R45" s="16">
        <f>IFERROR(INDEX(Volcado_Dist!$A:$ZZ, MATCH($B45, Volcado_Dist!$A:$A, 0), MATCH(R$2, Volcado_Dist!$1:$1, 0)) / SUM(INDEX(Volcado_Dist!$A:$ZZ, 0, MATCH(R$2, Volcado_Dist!$1:$1, 0))), 0)</f>
        <v>0</v>
      </c>
      <c r="S45" s="16">
        <f>IFERROR(INDEX(Volcado_Dist!$A:$ZZ, MATCH($B45, Volcado_Dist!$A:$A, 0), MATCH(S$2, Volcado_Dist!$1:$1, 0)) / SUM(INDEX(Volcado_Dist!$A:$ZZ, 0, MATCH(S$2, Volcado_Dist!$1:$1, 0))), 0)</f>
        <v>0</v>
      </c>
      <c r="T45" s="16">
        <f>IFERROR(INDEX(Volcado_Dist!$A:$ZZ, MATCH($B45, Volcado_Dist!$A:$A, 0), MATCH(T$2, Volcado_Dist!$1:$1, 0)) / SUM(INDEX(Volcado_Dist!$A:$ZZ, 0, MATCH(T$2, Volcado_Dist!$1:$1, 0))), 0)</f>
        <v>0</v>
      </c>
      <c r="U45" s="16">
        <f>IFERROR(INDEX(Volcado_Dist!$A:$ZZ, MATCH($B45, Volcado_Dist!$A:$A, 0), MATCH(U$2, Volcado_Dist!$1:$1, 0)) / SUM(INDEX(Volcado_Dist!$A:$ZZ, 0, MATCH(U$2, Volcado_Dist!$1:$1, 0))), 0)</f>
        <v>0</v>
      </c>
      <c r="V45" s="16">
        <f>IFERROR(INDEX(Volcado_Dist!$A:$ZZ, MATCH($B45, Volcado_Dist!$A:$A, 0), MATCH(V$2, Volcado_Dist!$1:$1, 0)) / SUM(INDEX(Volcado_Dist!$A:$ZZ, 0, MATCH(V$2, Volcado_Dist!$1:$1, 0))), 0)</f>
        <v>0</v>
      </c>
      <c r="W45" s="16">
        <f t="shared" si="1"/>
        <v>6.4517284585552517E-5</v>
      </c>
      <c r="X45" s="17">
        <f>IFERROR(SUM(_xlfn.XLOOKUP($B45, Volcado_Vend!$A:$A, Volcado_Vend!$C:$ZZ, 0)) / SUM(Volcado_Vend!$C:$ZZ), 0)</f>
        <v>0</v>
      </c>
      <c r="Y45" s="24">
        <f t="shared" si="0"/>
        <v>3.2258642292776259E-5</v>
      </c>
    </row>
    <row r="46" spans="2:25" x14ac:dyDescent="0.25">
      <c r="B46" s="15" t="s">
        <v>70</v>
      </c>
      <c r="C46" s="16">
        <f>IFERROR(INDEX(Volcado_Dist!$A:$ZZ, MATCH($B46, Volcado_Dist!$A:$A, 0), MATCH(C$2, Volcado_Dist!$1:$1, 0)) / SUM(INDEX(Volcado_Dist!$A:$ZZ, 0, MATCH(C$2, Volcado_Dist!$1:$1, 0))), 0)</f>
        <v>0</v>
      </c>
      <c r="D46" s="16">
        <f>IFERROR(INDEX(Volcado_Dist!$A:$ZZ, MATCH($B46, Volcado_Dist!$A:$A, 0), MATCH(D$2, Volcado_Dist!$1:$1, 0)) / SUM(INDEX(Volcado_Dist!$A:$ZZ, 0, MATCH(D$2, Volcado_Dist!$1:$1, 0))), 0)</f>
        <v>0</v>
      </c>
      <c r="E46" s="16">
        <f>IFERROR(INDEX(Volcado_Dist!$A:$ZZ, MATCH($B46, Volcado_Dist!$A:$A, 0), MATCH(E$2, Volcado_Dist!$1:$1, 0)) / SUM(INDEX(Volcado_Dist!$A:$ZZ, 0, MATCH(E$2, Volcado_Dist!$1:$1, 0))), 0)</f>
        <v>0</v>
      </c>
      <c r="F46" s="16">
        <f>IFERROR(INDEX(Volcado_Dist!$A:$ZZ, MATCH($B46, Volcado_Dist!$A:$A, 0), MATCH(F$2, Volcado_Dist!$1:$1, 0)) / SUM(INDEX(Volcado_Dist!$A:$ZZ, 0, MATCH(F$2, Volcado_Dist!$1:$1, 0))), 0)</f>
        <v>0</v>
      </c>
      <c r="G46" s="16">
        <f>IFERROR(INDEX(Volcado_Dist!$A:$ZZ, MATCH($B46, Volcado_Dist!$A:$A, 0), MATCH(G$2, Volcado_Dist!$1:$1, 0)) / SUM(INDEX(Volcado_Dist!$A:$ZZ, 0, MATCH(G$2, Volcado_Dist!$1:$1, 0))), 0)</f>
        <v>0</v>
      </c>
      <c r="H46" s="16">
        <f>IFERROR(INDEX(Volcado_Dist!$A:$ZZ, MATCH($B46, Volcado_Dist!$A:$A, 0), MATCH(H$2, Volcado_Dist!$1:$1, 0)) / SUM(INDEX(Volcado_Dist!$A:$ZZ, 0, MATCH(H$2, Volcado_Dist!$1:$1, 0))), 0)</f>
        <v>0</v>
      </c>
      <c r="I46" s="16">
        <f>IFERROR(INDEX(Volcado_Dist!$A:$ZZ, MATCH($B46, Volcado_Dist!$A:$A, 0), MATCH(I$2, Volcado_Dist!$1:$1, 0)) / SUM(INDEX(Volcado_Dist!$A:$ZZ, 0, MATCH(I$2, Volcado_Dist!$1:$1, 0))), 0)</f>
        <v>1.2519042064499368E-4</v>
      </c>
      <c r="J46" s="16">
        <f>IFERROR(INDEX(Volcado_Dist!$A:$ZZ, MATCH($B46, Volcado_Dist!$A:$A, 0), MATCH(J$2, Volcado_Dist!$1:$1, 0)) / SUM(INDEX(Volcado_Dist!$A:$ZZ, 0, MATCH(J$2, Volcado_Dist!$1:$1, 0))), 0)</f>
        <v>0</v>
      </c>
      <c r="K46" s="16">
        <f>IFERROR(INDEX(Volcado_Dist!$A:$ZZ, MATCH($B46, Volcado_Dist!$A:$A, 0), MATCH(K$2, Volcado_Dist!$1:$1, 0)) / SUM(INDEX(Volcado_Dist!$A:$ZZ, 0, MATCH(K$2, Volcado_Dist!$1:$1, 0))), 0)</f>
        <v>0</v>
      </c>
      <c r="L46" s="16">
        <f>IFERROR(INDEX(Volcado_Dist!$A:$ZZ, MATCH($B46, Volcado_Dist!$A:$A, 0), MATCH(L$2, Volcado_Dist!$1:$1, 0)) / SUM(INDEX(Volcado_Dist!$A:$ZZ, 0, MATCH(L$2, Volcado_Dist!$1:$1, 0))), 0)</f>
        <v>0</v>
      </c>
      <c r="M46" s="16">
        <f>IFERROR(INDEX(Volcado_Dist!$A:$ZZ, MATCH($B46, Volcado_Dist!$A:$A, 0), MATCH(M$2, Volcado_Dist!$1:$1, 0)) / SUM(INDEX(Volcado_Dist!$A:$ZZ, 0, MATCH(M$2, Volcado_Dist!$1:$1, 0))), 0)</f>
        <v>0</v>
      </c>
      <c r="N46" s="16">
        <f>IFERROR(INDEX(Volcado_Dist!$A:$ZZ, MATCH($B46, Volcado_Dist!$A:$A, 0), MATCH(N$2, Volcado_Dist!$1:$1, 0)) / SUM(INDEX(Volcado_Dist!$A:$ZZ, 0, MATCH(N$2, Volcado_Dist!$1:$1, 0))), 0)</f>
        <v>0</v>
      </c>
      <c r="O46" s="16">
        <f>IFERROR(INDEX(Volcado_Dist!$A:$ZZ, MATCH($B46, Volcado_Dist!$A:$A, 0), MATCH(O$2, Volcado_Dist!$1:$1, 0)) / SUM(INDEX(Volcado_Dist!$A:$ZZ, 0, MATCH(O$2, Volcado_Dist!$1:$1, 0))), 0)</f>
        <v>0</v>
      </c>
      <c r="P46" s="16">
        <f>IFERROR(INDEX(Volcado_Dist!$A:$ZZ, MATCH($B46, Volcado_Dist!$A:$A, 0), MATCH(P$2, Volcado_Dist!$1:$1, 0)) / SUM(INDEX(Volcado_Dist!$A:$ZZ, 0, MATCH(P$2, Volcado_Dist!$1:$1, 0))), 0)</f>
        <v>9.4929537382347549E-4</v>
      </c>
      <c r="Q46" s="16">
        <f>IFERROR(INDEX(Volcado_Dist!$A:$ZZ, MATCH($B46, Volcado_Dist!$A:$A, 0), MATCH(Q$2, Volcado_Dist!$1:$1, 0)) / SUM(INDEX(Volcado_Dist!$A:$ZZ, 0, MATCH(Q$2, Volcado_Dist!$1:$1, 0))), 0)</f>
        <v>0</v>
      </c>
      <c r="R46" s="16">
        <f>IFERROR(INDEX(Volcado_Dist!$A:$ZZ, MATCH($B46, Volcado_Dist!$A:$A, 0), MATCH(R$2, Volcado_Dist!$1:$1, 0)) / SUM(INDEX(Volcado_Dist!$A:$ZZ, 0, MATCH(R$2, Volcado_Dist!$1:$1, 0))), 0)</f>
        <v>0</v>
      </c>
      <c r="S46" s="16">
        <f>IFERROR(INDEX(Volcado_Dist!$A:$ZZ, MATCH($B46, Volcado_Dist!$A:$A, 0), MATCH(S$2, Volcado_Dist!$1:$1, 0)) / SUM(INDEX(Volcado_Dist!$A:$ZZ, 0, MATCH(S$2, Volcado_Dist!$1:$1, 0))), 0)</f>
        <v>0</v>
      </c>
      <c r="T46" s="16">
        <f>IFERROR(INDEX(Volcado_Dist!$A:$ZZ, MATCH($B46, Volcado_Dist!$A:$A, 0), MATCH(T$2, Volcado_Dist!$1:$1, 0)) / SUM(INDEX(Volcado_Dist!$A:$ZZ, 0, MATCH(T$2, Volcado_Dist!$1:$1, 0))), 0)</f>
        <v>0</v>
      </c>
      <c r="U46" s="16">
        <f>IFERROR(INDEX(Volcado_Dist!$A:$ZZ, MATCH($B46, Volcado_Dist!$A:$A, 0), MATCH(U$2, Volcado_Dist!$1:$1, 0)) / SUM(INDEX(Volcado_Dist!$A:$ZZ, 0, MATCH(U$2, Volcado_Dist!$1:$1, 0))), 0)</f>
        <v>0</v>
      </c>
      <c r="V46" s="16">
        <f>IFERROR(INDEX(Volcado_Dist!$A:$ZZ, MATCH($B46, Volcado_Dist!$A:$A, 0), MATCH(V$2, Volcado_Dist!$1:$1, 0)) / SUM(INDEX(Volcado_Dist!$A:$ZZ, 0, MATCH(V$2, Volcado_Dist!$1:$1, 0))), 0)</f>
        <v>0</v>
      </c>
      <c r="W46" s="16">
        <f t="shared" si="1"/>
        <v>5.3724289723423457E-5</v>
      </c>
      <c r="X46" s="17">
        <f>IFERROR(SUM(_xlfn.XLOOKUP($B46, Volcado_Vend!$A:$A, Volcado_Vend!$C:$ZZ, 0)) / SUM(Volcado_Vend!$C:$ZZ), 0)</f>
        <v>0</v>
      </c>
      <c r="Y46" s="24">
        <f t="shared" si="0"/>
        <v>2.6862144861711729E-5</v>
      </c>
    </row>
    <row r="47" spans="2:25" x14ac:dyDescent="0.25">
      <c r="B47" s="15" t="s">
        <v>71</v>
      </c>
      <c r="C47" s="16">
        <f>IFERROR(INDEX(Volcado_Dist!$A:$ZZ, MATCH($B47, Volcado_Dist!$A:$A, 0), MATCH(C$2, Volcado_Dist!$1:$1, 0)) / SUM(INDEX(Volcado_Dist!$A:$ZZ, 0, MATCH(C$2, Volcado_Dist!$1:$1, 0))), 0)</f>
        <v>5.0258506033668835E-3</v>
      </c>
      <c r="D47" s="16">
        <f>IFERROR(INDEX(Volcado_Dist!$A:$ZZ, MATCH($B47, Volcado_Dist!$A:$A, 0), MATCH(D$2, Volcado_Dist!$1:$1, 0)) / SUM(INDEX(Volcado_Dist!$A:$ZZ, 0, MATCH(D$2, Volcado_Dist!$1:$1, 0))), 0)</f>
        <v>0</v>
      </c>
      <c r="E47" s="16">
        <f>IFERROR(INDEX(Volcado_Dist!$A:$ZZ, MATCH($B47, Volcado_Dist!$A:$A, 0), MATCH(E$2, Volcado_Dist!$1:$1, 0)) / SUM(INDEX(Volcado_Dist!$A:$ZZ, 0, MATCH(E$2, Volcado_Dist!$1:$1, 0))), 0)</f>
        <v>2.2980362888647531E-3</v>
      </c>
      <c r="F47" s="16">
        <f>IFERROR(INDEX(Volcado_Dist!$A:$ZZ, MATCH($B47, Volcado_Dist!$A:$A, 0), MATCH(F$2, Volcado_Dist!$1:$1, 0)) / SUM(INDEX(Volcado_Dist!$A:$ZZ, 0, MATCH(F$2, Volcado_Dist!$1:$1, 0))), 0)</f>
        <v>2.1702143387499306E-3</v>
      </c>
      <c r="G47" s="16">
        <f>IFERROR(INDEX(Volcado_Dist!$A:$ZZ, MATCH($B47, Volcado_Dist!$A:$A, 0), MATCH(G$2, Volcado_Dist!$1:$1, 0)) / SUM(INDEX(Volcado_Dist!$A:$ZZ, 0, MATCH(G$2, Volcado_Dist!$1:$1, 0))), 0)</f>
        <v>0</v>
      </c>
      <c r="H47" s="16">
        <f>IFERROR(INDEX(Volcado_Dist!$A:$ZZ, MATCH($B47, Volcado_Dist!$A:$A, 0), MATCH(H$2, Volcado_Dist!$1:$1, 0)) / SUM(INDEX(Volcado_Dist!$A:$ZZ, 0, MATCH(H$2, Volcado_Dist!$1:$1, 0))), 0)</f>
        <v>0</v>
      </c>
      <c r="I47" s="16">
        <f>IFERROR(INDEX(Volcado_Dist!$A:$ZZ, MATCH($B47, Volcado_Dist!$A:$A, 0), MATCH(I$2, Volcado_Dist!$1:$1, 0)) / SUM(INDEX(Volcado_Dist!$A:$ZZ, 0, MATCH(I$2, Volcado_Dist!$1:$1, 0))), 0)</f>
        <v>4.2470999397906502E-4</v>
      </c>
      <c r="J47" s="16">
        <f>IFERROR(INDEX(Volcado_Dist!$A:$ZZ, MATCH($B47, Volcado_Dist!$A:$A, 0), MATCH(J$2, Volcado_Dist!$1:$1, 0)) / SUM(INDEX(Volcado_Dist!$A:$ZZ, 0, MATCH(J$2, Volcado_Dist!$1:$1, 0))), 0)</f>
        <v>0</v>
      </c>
      <c r="K47" s="16">
        <f>IFERROR(INDEX(Volcado_Dist!$A:$ZZ, MATCH($B47, Volcado_Dist!$A:$A, 0), MATCH(K$2, Volcado_Dist!$1:$1, 0)) / SUM(INDEX(Volcado_Dist!$A:$ZZ, 0, MATCH(K$2, Volcado_Dist!$1:$1, 0))), 0)</f>
        <v>3.407938940879097E-3</v>
      </c>
      <c r="L47" s="16">
        <f>IFERROR(INDEX(Volcado_Dist!$A:$ZZ, MATCH($B47, Volcado_Dist!$A:$A, 0), MATCH(L$2, Volcado_Dist!$1:$1, 0)) / SUM(INDEX(Volcado_Dist!$A:$ZZ, 0, MATCH(L$2, Volcado_Dist!$1:$1, 0))), 0)</f>
        <v>4.7105161046741327E-3</v>
      </c>
      <c r="M47" s="16">
        <f>IFERROR(INDEX(Volcado_Dist!$A:$ZZ, MATCH($B47, Volcado_Dist!$A:$A, 0), MATCH(M$2, Volcado_Dist!$1:$1, 0)) / SUM(INDEX(Volcado_Dist!$A:$ZZ, 0, MATCH(M$2, Volcado_Dist!$1:$1, 0))), 0)</f>
        <v>7.1930696146839815E-3</v>
      </c>
      <c r="N47" s="16">
        <f>IFERROR(INDEX(Volcado_Dist!$A:$ZZ, MATCH($B47, Volcado_Dist!$A:$A, 0), MATCH(N$2, Volcado_Dist!$1:$1, 0)) / SUM(INDEX(Volcado_Dist!$A:$ZZ, 0, MATCH(N$2, Volcado_Dist!$1:$1, 0))), 0)</f>
        <v>0</v>
      </c>
      <c r="O47" s="16">
        <f>IFERROR(INDEX(Volcado_Dist!$A:$ZZ, MATCH($B47, Volcado_Dist!$A:$A, 0), MATCH(O$2, Volcado_Dist!$1:$1, 0)) / SUM(INDEX(Volcado_Dist!$A:$ZZ, 0, MATCH(O$2, Volcado_Dist!$1:$1, 0))), 0)</f>
        <v>0</v>
      </c>
      <c r="P47" s="16">
        <f>IFERROR(INDEX(Volcado_Dist!$A:$ZZ, MATCH($B47, Volcado_Dist!$A:$A, 0), MATCH(P$2, Volcado_Dist!$1:$1, 0)) / SUM(INDEX(Volcado_Dist!$A:$ZZ, 0, MATCH(P$2, Volcado_Dist!$1:$1, 0))), 0)</f>
        <v>3.9449172781859465E-3</v>
      </c>
      <c r="Q47" s="16">
        <f>IFERROR(INDEX(Volcado_Dist!$A:$ZZ, MATCH($B47, Volcado_Dist!$A:$A, 0), MATCH(Q$2, Volcado_Dist!$1:$1, 0)) / SUM(INDEX(Volcado_Dist!$A:$ZZ, 0, MATCH(Q$2, Volcado_Dist!$1:$1, 0))), 0)</f>
        <v>7.678909436294244E-3</v>
      </c>
      <c r="R47" s="16">
        <f>IFERROR(INDEX(Volcado_Dist!$A:$ZZ, MATCH($B47, Volcado_Dist!$A:$A, 0), MATCH(R$2, Volcado_Dist!$1:$1, 0)) / SUM(INDEX(Volcado_Dist!$A:$ZZ, 0, MATCH(R$2, Volcado_Dist!$1:$1, 0))), 0)</f>
        <v>0</v>
      </c>
      <c r="S47" s="16">
        <f>IFERROR(INDEX(Volcado_Dist!$A:$ZZ, MATCH($B47, Volcado_Dist!$A:$A, 0), MATCH(S$2, Volcado_Dist!$1:$1, 0)) / SUM(INDEX(Volcado_Dist!$A:$ZZ, 0, MATCH(S$2, Volcado_Dist!$1:$1, 0))), 0)</f>
        <v>1.9960327482524392E-3</v>
      </c>
      <c r="T47" s="16">
        <f>IFERROR(INDEX(Volcado_Dist!$A:$ZZ, MATCH($B47, Volcado_Dist!$A:$A, 0), MATCH(T$2, Volcado_Dist!$1:$1, 0)) / SUM(INDEX(Volcado_Dist!$A:$ZZ, 0, MATCH(T$2, Volcado_Dist!$1:$1, 0))), 0)</f>
        <v>5.7364816725334741E-4</v>
      </c>
      <c r="U47" s="16">
        <f>IFERROR(INDEX(Volcado_Dist!$A:$ZZ, MATCH($B47, Volcado_Dist!$A:$A, 0), MATCH(U$2, Volcado_Dist!$1:$1, 0)) / SUM(INDEX(Volcado_Dist!$A:$ZZ, 0, MATCH(U$2, Volcado_Dist!$1:$1, 0))), 0)</f>
        <v>0</v>
      </c>
      <c r="V47" s="16">
        <f>IFERROR(INDEX(Volcado_Dist!$A:$ZZ, MATCH($B47, Volcado_Dist!$A:$A, 0), MATCH(V$2, Volcado_Dist!$1:$1, 0)) / SUM(INDEX(Volcado_Dist!$A:$ZZ, 0, MATCH(V$2, Volcado_Dist!$1:$1, 0))), 0)</f>
        <v>3.3409887620619826E-3</v>
      </c>
      <c r="W47" s="16">
        <f t="shared" si="1"/>
        <v>2.1382416138622899E-3</v>
      </c>
      <c r="X47" s="17">
        <f>IFERROR(SUM(_xlfn.XLOOKUP($B47, Volcado_Vend!$A:$A, Volcado_Vend!$C:$ZZ, 0)) / SUM(Volcado_Vend!$C:$ZZ), 0)</f>
        <v>2.797604539461449E-3</v>
      </c>
      <c r="Y47" s="24">
        <f t="shared" si="0"/>
        <v>2.4679230766618695E-3</v>
      </c>
    </row>
    <row r="48" spans="2:25" x14ac:dyDescent="0.25">
      <c r="B48" s="15" t="s">
        <v>72</v>
      </c>
      <c r="C48" s="16">
        <f>IFERROR(INDEX(Volcado_Dist!$A:$ZZ, MATCH($B48, Volcado_Dist!$A:$A, 0), MATCH(C$2, Volcado_Dist!$1:$1, 0)) / SUM(INDEX(Volcado_Dist!$A:$ZZ, 0, MATCH(C$2, Volcado_Dist!$1:$1, 0))), 0)</f>
        <v>3.8787355151890396E-4</v>
      </c>
      <c r="D48" s="16">
        <f>IFERROR(INDEX(Volcado_Dist!$A:$ZZ, MATCH($B48, Volcado_Dist!$A:$A, 0), MATCH(D$2, Volcado_Dist!$1:$1, 0)) / SUM(INDEX(Volcado_Dist!$A:$ZZ, 0, MATCH(D$2, Volcado_Dist!$1:$1, 0))), 0)</f>
        <v>0</v>
      </c>
      <c r="E48" s="16">
        <f>IFERROR(INDEX(Volcado_Dist!$A:$ZZ, MATCH($B48, Volcado_Dist!$A:$A, 0), MATCH(E$2, Volcado_Dist!$1:$1, 0)) / SUM(INDEX(Volcado_Dist!$A:$ZZ, 0, MATCH(E$2, Volcado_Dist!$1:$1, 0))), 0)</f>
        <v>0</v>
      </c>
      <c r="F48" s="16">
        <f>IFERROR(INDEX(Volcado_Dist!$A:$ZZ, MATCH($B48, Volcado_Dist!$A:$A, 0), MATCH(F$2, Volcado_Dist!$1:$1, 0)) / SUM(INDEX(Volcado_Dist!$A:$ZZ, 0, MATCH(F$2, Volcado_Dist!$1:$1, 0))), 0)</f>
        <v>0</v>
      </c>
      <c r="G48" s="16">
        <f>IFERROR(INDEX(Volcado_Dist!$A:$ZZ, MATCH($B48, Volcado_Dist!$A:$A, 0), MATCH(G$2, Volcado_Dist!$1:$1, 0)) / SUM(INDEX(Volcado_Dist!$A:$ZZ, 0, MATCH(G$2, Volcado_Dist!$1:$1, 0))), 0)</f>
        <v>0</v>
      </c>
      <c r="H48" s="16">
        <f>IFERROR(INDEX(Volcado_Dist!$A:$ZZ, MATCH($B48, Volcado_Dist!$A:$A, 0), MATCH(H$2, Volcado_Dist!$1:$1, 0)) / SUM(INDEX(Volcado_Dist!$A:$ZZ, 0, MATCH(H$2, Volcado_Dist!$1:$1, 0))), 0)</f>
        <v>0</v>
      </c>
      <c r="I48" s="16">
        <f>IFERROR(INDEX(Volcado_Dist!$A:$ZZ, MATCH($B48, Volcado_Dist!$A:$A, 0), MATCH(I$2, Volcado_Dist!$1:$1, 0)) / SUM(INDEX(Volcado_Dist!$A:$ZZ, 0, MATCH(I$2, Volcado_Dist!$1:$1, 0))), 0)</f>
        <v>0</v>
      </c>
      <c r="J48" s="16">
        <f>IFERROR(INDEX(Volcado_Dist!$A:$ZZ, MATCH($B48, Volcado_Dist!$A:$A, 0), MATCH(J$2, Volcado_Dist!$1:$1, 0)) / SUM(INDEX(Volcado_Dist!$A:$ZZ, 0, MATCH(J$2, Volcado_Dist!$1:$1, 0))), 0)</f>
        <v>0</v>
      </c>
      <c r="K48" s="16">
        <f>IFERROR(INDEX(Volcado_Dist!$A:$ZZ, MATCH($B48, Volcado_Dist!$A:$A, 0), MATCH(K$2, Volcado_Dist!$1:$1, 0)) / SUM(INDEX(Volcado_Dist!$A:$ZZ, 0, MATCH(K$2, Volcado_Dist!$1:$1, 0))), 0)</f>
        <v>4.4110603474892691E-4</v>
      </c>
      <c r="L48" s="16">
        <f>IFERROR(INDEX(Volcado_Dist!$A:$ZZ, MATCH($B48, Volcado_Dist!$A:$A, 0), MATCH(L$2, Volcado_Dist!$1:$1, 0)) / SUM(INDEX(Volcado_Dist!$A:$ZZ, 0, MATCH(L$2, Volcado_Dist!$1:$1, 0))), 0)</f>
        <v>0</v>
      </c>
      <c r="M48" s="16">
        <f>IFERROR(INDEX(Volcado_Dist!$A:$ZZ, MATCH($B48, Volcado_Dist!$A:$A, 0), MATCH(M$2, Volcado_Dist!$1:$1, 0)) / SUM(INDEX(Volcado_Dist!$A:$ZZ, 0, MATCH(M$2, Volcado_Dist!$1:$1, 0))), 0)</f>
        <v>0</v>
      </c>
      <c r="N48" s="16">
        <f>IFERROR(INDEX(Volcado_Dist!$A:$ZZ, MATCH($B48, Volcado_Dist!$A:$A, 0), MATCH(N$2, Volcado_Dist!$1:$1, 0)) / SUM(INDEX(Volcado_Dist!$A:$ZZ, 0, MATCH(N$2, Volcado_Dist!$1:$1, 0))), 0)</f>
        <v>0</v>
      </c>
      <c r="O48" s="16">
        <f>IFERROR(INDEX(Volcado_Dist!$A:$ZZ, MATCH($B48, Volcado_Dist!$A:$A, 0), MATCH(O$2, Volcado_Dist!$1:$1, 0)) / SUM(INDEX(Volcado_Dist!$A:$ZZ, 0, MATCH(O$2, Volcado_Dist!$1:$1, 0))), 0)</f>
        <v>0</v>
      </c>
      <c r="P48" s="16">
        <f>IFERROR(INDEX(Volcado_Dist!$A:$ZZ, MATCH($B48, Volcado_Dist!$A:$A, 0), MATCH(P$2, Volcado_Dist!$1:$1, 0)) / SUM(INDEX(Volcado_Dist!$A:$ZZ, 0, MATCH(P$2, Volcado_Dist!$1:$1, 0))), 0)</f>
        <v>0</v>
      </c>
      <c r="Q48" s="16">
        <f>IFERROR(INDEX(Volcado_Dist!$A:$ZZ, MATCH($B48, Volcado_Dist!$A:$A, 0), MATCH(Q$2, Volcado_Dist!$1:$1, 0)) / SUM(INDEX(Volcado_Dist!$A:$ZZ, 0, MATCH(Q$2, Volcado_Dist!$1:$1, 0))), 0)</f>
        <v>0</v>
      </c>
      <c r="R48" s="16">
        <f>IFERROR(INDEX(Volcado_Dist!$A:$ZZ, MATCH($B48, Volcado_Dist!$A:$A, 0), MATCH(R$2, Volcado_Dist!$1:$1, 0)) / SUM(INDEX(Volcado_Dist!$A:$ZZ, 0, MATCH(R$2, Volcado_Dist!$1:$1, 0))), 0)</f>
        <v>0</v>
      </c>
      <c r="S48" s="16">
        <f>IFERROR(INDEX(Volcado_Dist!$A:$ZZ, MATCH($B48, Volcado_Dist!$A:$A, 0), MATCH(S$2, Volcado_Dist!$1:$1, 0)) / SUM(INDEX(Volcado_Dist!$A:$ZZ, 0, MATCH(S$2, Volcado_Dist!$1:$1, 0))), 0)</f>
        <v>0</v>
      </c>
      <c r="T48" s="16">
        <f>IFERROR(INDEX(Volcado_Dist!$A:$ZZ, MATCH($B48, Volcado_Dist!$A:$A, 0), MATCH(T$2, Volcado_Dist!$1:$1, 0)) / SUM(INDEX(Volcado_Dist!$A:$ZZ, 0, MATCH(T$2, Volcado_Dist!$1:$1, 0))), 0)</f>
        <v>0</v>
      </c>
      <c r="U48" s="16">
        <f>IFERROR(INDEX(Volcado_Dist!$A:$ZZ, MATCH($B48, Volcado_Dist!$A:$A, 0), MATCH(U$2, Volcado_Dist!$1:$1, 0)) / SUM(INDEX(Volcado_Dist!$A:$ZZ, 0, MATCH(U$2, Volcado_Dist!$1:$1, 0))), 0)</f>
        <v>0</v>
      </c>
      <c r="V48" s="16">
        <f>IFERROR(INDEX(Volcado_Dist!$A:$ZZ, MATCH($B48, Volcado_Dist!$A:$A, 0), MATCH(V$2, Volcado_Dist!$1:$1, 0)) / SUM(INDEX(Volcado_Dist!$A:$ZZ, 0, MATCH(V$2, Volcado_Dist!$1:$1, 0))), 0)</f>
        <v>0</v>
      </c>
      <c r="W48" s="16">
        <f t="shared" si="1"/>
        <v>4.1448979313391543E-5</v>
      </c>
      <c r="X48" s="17">
        <f>IFERROR(SUM(_xlfn.XLOOKUP($B48, Volcado_Vend!$A:$A, Volcado_Vend!$C:$ZZ, 0)) / SUM(Volcado_Vend!$C:$ZZ), 0)</f>
        <v>0</v>
      </c>
      <c r="Y48" s="24">
        <f t="shared" si="0"/>
        <v>2.0724489656695772E-5</v>
      </c>
    </row>
    <row r="49" spans="2:25" x14ac:dyDescent="0.25">
      <c r="B49" s="15" t="s">
        <v>73</v>
      </c>
      <c r="C49" s="16">
        <f>IFERROR(INDEX(Volcado_Dist!$A:$ZZ, MATCH($B49, Volcado_Dist!$A:$A, 0), MATCH(C$2, Volcado_Dist!$1:$1, 0)) / SUM(INDEX(Volcado_Dist!$A:$ZZ, 0, MATCH(C$2, Volcado_Dist!$1:$1, 0))), 0)</f>
        <v>4.7169095639476881E-4</v>
      </c>
      <c r="D49" s="16">
        <f>IFERROR(INDEX(Volcado_Dist!$A:$ZZ, MATCH($B49, Volcado_Dist!$A:$A, 0), MATCH(D$2, Volcado_Dist!$1:$1, 0)) / SUM(INDEX(Volcado_Dist!$A:$ZZ, 0, MATCH(D$2, Volcado_Dist!$1:$1, 0))), 0)</f>
        <v>0</v>
      </c>
      <c r="E49" s="16">
        <f>IFERROR(INDEX(Volcado_Dist!$A:$ZZ, MATCH($B49, Volcado_Dist!$A:$A, 0), MATCH(E$2, Volcado_Dist!$1:$1, 0)) / SUM(INDEX(Volcado_Dist!$A:$ZZ, 0, MATCH(E$2, Volcado_Dist!$1:$1, 0))), 0)</f>
        <v>5.1990883535719522E-3</v>
      </c>
      <c r="F49" s="16">
        <f>IFERROR(INDEX(Volcado_Dist!$A:$ZZ, MATCH($B49, Volcado_Dist!$A:$A, 0), MATCH(F$2, Volcado_Dist!$1:$1, 0)) / SUM(INDEX(Volcado_Dist!$A:$ZZ, 0, MATCH(F$2, Volcado_Dist!$1:$1, 0))), 0)</f>
        <v>2.4640945641258576E-3</v>
      </c>
      <c r="G49" s="16">
        <f>IFERROR(INDEX(Volcado_Dist!$A:$ZZ, MATCH($B49, Volcado_Dist!$A:$A, 0), MATCH(G$2, Volcado_Dist!$1:$1, 0)) / SUM(INDEX(Volcado_Dist!$A:$ZZ, 0, MATCH(G$2, Volcado_Dist!$1:$1, 0))), 0)</f>
        <v>0</v>
      </c>
      <c r="H49" s="16">
        <f>IFERROR(INDEX(Volcado_Dist!$A:$ZZ, MATCH($B49, Volcado_Dist!$A:$A, 0), MATCH(H$2, Volcado_Dist!$1:$1, 0)) / SUM(INDEX(Volcado_Dist!$A:$ZZ, 0, MATCH(H$2, Volcado_Dist!$1:$1, 0))), 0)</f>
        <v>0</v>
      </c>
      <c r="I49" s="16">
        <f>IFERROR(INDEX(Volcado_Dist!$A:$ZZ, MATCH($B49, Volcado_Dist!$A:$A, 0), MATCH(I$2, Volcado_Dist!$1:$1, 0)) / SUM(INDEX(Volcado_Dist!$A:$ZZ, 0, MATCH(I$2, Volcado_Dist!$1:$1, 0))), 0)</f>
        <v>3.0320696979432098E-3</v>
      </c>
      <c r="J49" s="16">
        <f>IFERROR(INDEX(Volcado_Dist!$A:$ZZ, MATCH($B49, Volcado_Dist!$A:$A, 0), MATCH(J$2, Volcado_Dist!$1:$1, 0)) / SUM(INDEX(Volcado_Dist!$A:$ZZ, 0, MATCH(J$2, Volcado_Dist!$1:$1, 0))), 0)</f>
        <v>0</v>
      </c>
      <c r="K49" s="16">
        <f>IFERROR(INDEX(Volcado_Dist!$A:$ZZ, MATCH($B49, Volcado_Dist!$A:$A, 0), MATCH(K$2, Volcado_Dist!$1:$1, 0)) / SUM(INDEX(Volcado_Dist!$A:$ZZ, 0, MATCH(K$2, Volcado_Dist!$1:$1, 0))), 0)</f>
        <v>1.1888637767917421E-2</v>
      </c>
      <c r="L49" s="16">
        <f>IFERROR(INDEX(Volcado_Dist!$A:$ZZ, MATCH($B49, Volcado_Dist!$A:$A, 0), MATCH(L$2, Volcado_Dist!$1:$1, 0)) / SUM(INDEX(Volcado_Dist!$A:$ZZ, 0, MATCH(L$2, Volcado_Dist!$1:$1, 0))), 0)</f>
        <v>0</v>
      </c>
      <c r="M49" s="16">
        <f>IFERROR(INDEX(Volcado_Dist!$A:$ZZ, MATCH($B49, Volcado_Dist!$A:$A, 0), MATCH(M$2, Volcado_Dist!$1:$1, 0)) / SUM(INDEX(Volcado_Dist!$A:$ZZ, 0, MATCH(M$2, Volcado_Dist!$1:$1, 0))), 0)</f>
        <v>1.6146956416740366E-3</v>
      </c>
      <c r="N49" s="16">
        <f>IFERROR(INDEX(Volcado_Dist!$A:$ZZ, MATCH($B49, Volcado_Dist!$A:$A, 0), MATCH(N$2, Volcado_Dist!$1:$1, 0)) / SUM(INDEX(Volcado_Dist!$A:$ZZ, 0, MATCH(N$2, Volcado_Dist!$1:$1, 0))), 0)</f>
        <v>0</v>
      </c>
      <c r="O49" s="16">
        <f>IFERROR(INDEX(Volcado_Dist!$A:$ZZ, MATCH($B49, Volcado_Dist!$A:$A, 0), MATCH(O$2, Volcado_Dist!$1:$1, 0)) / SUM(INDEX(Volcado_Dist!$A:$ZZ, 0, MATCH(O$2, Volcado_Dist!$1:$1, 0))), 0)</f>
        <v>0.11382916339820741</v>
      </c>
      <c r="P49" s="16">
        <f>IFERROR(INDEX(Volcado_Dist!$A:$ZZ, MATCH($B49, Volcado_Dist!$A:$A, 0), MATCH(P$2, Volcado_Dist!$1:$1, 0)) / SUM(INDEX(Volcado_Dist!$A:$ZZ, 0, MATCH(P$2, Volcado_Dist!$1:$1, 0))), 0)</f>
        <v>5.3734242589876169E-3</v>
      </c>
      <c r="Q49" s="16">
        <f>IFERROR(INDEX(Volcado_Dist!$A:$ZZ, MATCH($B49, Volcado_Dist!$A:$A, 0), MATCH(Q$2, Volcado_Dist!$1:$1, 0)) / SUM(INDEX(Volcado_Dist!$A:$ZZ, 0, MATCH(Q$2, Volcado_Dist!$1:$1, 0))), 0)</f>
        <v>-5.9882375886581045E-3</v>
      </c>
      <c r="R49" s="16">
        <f>IFERROR(INDEX(Volcado_Dist!$A:$ZZ, MATCH($B49, Volcado_Dist!$A:$A, 0), MATCH(R$2, Volcado_Dist!$1:$1, 0)) / SUM(INDEX(Volcado_Dist!$A:$ZZ, 0, MATCH(R$2, Volcado_Dist!$1:$1, 0))), 0)</f>
        <v>0</v>
      </c>
      <c r="S49" s="16">
        <f>IFERROR(INDEX(Volcado_Dist!$A:$ZZ, MATCH($B49, Volcado_Dist!$A:$A, 0), MATCH(S$2, Volcado_Dist!$1:$1, 0)) / SUM(INDEX(Volcado_Dist!$A:$ZZ, 0, MATCH(S$2, Volcado_Dist!$1:$1, 0))), 0)</f>
        <v>6.9154990040829645E-2</v>
      </c>
      <c r="T49" s="16">
        <f>IFERROR(INDEX(Volcado_Dist!$A:$ZZ, MATCH($B49, Volcado_Dist!$A:$A, 0), MATCH(T$2, Volcado_Dist!$1:$1, 0)) / SUM(INDEX(Volcado_Dist!$A:$ZZ, 0, MATCH(T$2, Volcado_Dist!$1:$1, 0))), 0)</f>
        <v>4.877695859051529E-5</v>
      </c>
      <c r="U49" s="16">
        <f>IFERROR(INDEX(Volcado_Dist!$A:$ZZ, MATCH($B49, Volcado_Dist!$A:$A, 0), MATCH(U$2, Volcado_Dist!$1:$1, 0)) / SUM(INDEX(Volcado_Dist!$A:$ZZ, 0, MATCH(U$2, Volcado_Dist!$1:$1, 0))), 0)</f>
        <v>0</v>
      </c>
      <c r="V49" s="16">
        <f>IFERROR(INDEX(Volcado_Dist!$A:$ZZ, MATCH($B49, Volcado_Dist!$A:$A, 0), MATCH(V$2, Volcado_Dist!$1:$1, 0)) / SUM(INDEX(Volcado_Dist!$A:$ZZ, 0, MATCH(V$2, Volcado_Dist!$1:$1, 0))), 0)</f>
        <v>2.4212855888069347E-3</v>
      </c>
      <c r="W49" s="16">
        <f t="shared" si="1"/>
        <v>1.0475483981919564E-2</v>
      </c>
      <c r="X49" s="17">
        <f>IFERROR(SUM(_xlfn.XLOOKUP($B49, Volcado_Vend!$A:$A, Volcado_Vend!$C:$ZZ, 0)) / SUM(Volcado_Vend!$C:$ZZ), 0)</f>
        <v>1.2731305407167554E-3</v>
      </c>
      <c r="Y49" s="24">
        <f t="shared" si="0"/>
        <v>5.8743072613181594E-3</v>
      </c>
    </row>
    <row r="50" spans="2:25" x14ac:dyDescent="0.25">
      <c r="B50" s="15" t="s">
        <v>74</v>
      </c>
      <c r="C50" s="16">
        <f>IFERROR(INDEX(Volcado_Dist!$A:$ZZ, MATCH($B50, Volcado_Dist!$A:$A, 0), MATCH(C$2, Volcado_Dist!$1:$1, 0)) / SUM(INDEX(Volcado_Dist!$A:$ZZ, 0, MATCH(C$2, Volcado_Dist!$1:$1, 0))), 0)</f>
        <v>7.6009802603128147E-4</v>
      </c>
      <c r="D50" s="16">
        <f>IFERROR(INDEX(Volcado_Dist!$A:$ZZ, MATCH($B50, Volcado_Dist!$A:$A, 0), MATCH(D$2, Volcado_Dist!$1:$1, 0)) / SUM(INDEX(Volcado_Dist!$A:$ZZ, 0, MATCH(D$2, Volcado_Dist!$1:$1, 0))), 0)</f>
        <v>0</v>
      </c>
      <c r="E50" s="16">
        <f>IFERROR(INDEX(Volcado_Dist!$A:$ZZ, MATCH($B50, Volcado_Dist!$A:$A, 0), MATCH(E$2, Volcado_Dist!$1:$1, 0)) / SUM(INDEX(Volcado_Dist!$A:$ZZ, 0, MATCH(E$2, Volcado_Dist!$1:$1, 0))), 0)</f>
        <v>3.9351388607866689E-3</v>
      </c>
      <c r="F50" s="16">
        <f>IFERROR(INDEX(Volcado_Dist!$A:$ZZ, MATCH($B50, Volcado_Dist!$A:$A, 0), MATCH(F$2, Volcado_Dist!$1:$1, 0)) / SUM(INDEX(Volcado_Dist!$A:$ZZ, 0, MATCH(F$2, Volcado_Dist!$1:$1, 0))), 0)</f>
        <v>0</v>
      </c>
      <c r="G50" s="16">
        <f>IFERROR(INDEX(Volcado_Dist!$A:$ZZ, MATCH($B50, Volcado_Dist!$A:$A, 0), MATCH(G$2, Volcado_Dist!$1:$1, 0)) / SUM(INDEX(Volcado_Dist!$A:$ZZ, 0, MATCH(G$2, Volcado_Dist!$1:$1, 0))), 0)</f>
        <v>0</v>
      </c>
      <c r="H50" s="16">
        <f>IFERROR(INDEX(Volcado_Dist!$A:$ZZ, MATCH($B50, Volcado_Dist!$A:$A, 0), MATCH(H$2, Volcado_Dist!$1:$1, 0)) / SUM(INDEX(Volcado_Dist!$A:$ZZ, 0, MATCH(H$2, Volcado_Dist!$1:$1, 0))), 0)</f>
        <v>0</v>
      </c>
      <c r="I50" s="16">
        <f>IFERROR(INDEX(Volcado_Dist!$A:$ZZ, MATCH($B50, Volcado_Dist!$A:$A, 0), MATCH(I$2, Volcado_Dist!$1:$1, 0)) / SUM(INDEX(Volcado_Dist!$A:$ZZ, 0, MATCH(I$2, Volcado_Dist!$1:$1, 0))), 0)</f>
        <v>1.0441265671008435E-3</v>
      </c>
      <c r="J50" s="16">
        <f>IFERROR(INDEX(Volcado_Dist!$A:$ZZ, MATCH($B50, Volcado_Dist!$A:$A, 0), MATCH(J$2, Volcado_Dist!$1:$1, 0)) / SUM(INDEX(Volcado_Dist!$A:$ZZ, 0, MATCH(J$2, Volcado_Dist!$1:$1, 0))), 0)</f>
        <v>0</v>
      </c>
      <c r="K50" s="16">
        <f>IFERROR(INDEX(Volcado_Dist!$A:$ZZ, MATCH($B50, Volcado_Dist!$A:$A, 0), MATCH(K$2, Volcado_Dist!$1:$1, 0)) / SUM(INDEX(Volcado_Dist!$A:$ZZ, 0, MATCH(K$2, Volcado_Dist!$1:$1, 0))), 0)</f>
        <v>2.0597054944925201E-3</v>
      </c>
      <c r="L50" s="16">
        <f>IFERROR(INDEX(Volcado_Dist!$A:$ZZ, MATCH($B50, Volcado_Dist!$A:$A, 0), MATCH(L$2, Volcado_Dist!$1:$1, 0)) / SUM(INDEX(Volcado_Dist!$A:$ZZ, 0, MATCH(L$2, Volcado_Dist!$1:$1, 0))), 0)</f>
        <v>0</v>
      </c>
      <c r="M50" s="16">
        <f>IFERROR(INDEX(Volcado_Dist!$A:$ZZ, MATCH($B50, Volcado_Dist!$A:$A, 0), MATCH(M$2, Volcado_Dist!$1:$1, 0)) / SUM(INDEX(Volcado_Dist!$A:$ZZ, 0, MATCH(M$2, Volcado_Dist!$1:$1, 0))), 0)</f>
        <v>0</v>
      </c>
      <c r="N50" s="16">
        <f>IFERROR(INDEX(Volcado_Dist!$A:$ZZ, MATCH($B50, Volcado_Dist!$A:$A, 0), MATCH(N$2, Volcado_Dist!$1:$1, 0)) / SUM(INDEX(Volcado_Dist!$A:$ZZ, 0, MATCH(N$2, Volcado_Dist!$1:$1, 0))), 0)</f>
        <v>0</v>
      </c>
      <c r="O50" s="16">
        <f>IFERROR(INDEX(Volcado_Dist!$A:$ZZ, MATCH($B50, Volcado_Dist!$A:$A, 0), MATCH(O$2, Volcado_Dist!$1:$1, 0)) / SUM(INDEX(Volcado_Dist!$A:$ZZ, 0, MATCH(O$2, Volcado_Dist!$1:$1, 0))), 0)</f>
        <v>0</v>
      </c>
      <c r="P50" s="16">
        <f>IFERROR(INDEX(Volcado_Dist!$A:$ZZ, MATCH($B50, Volcado_Dist!$A:$A, 0), MATCH(P$2, Volcado_Dist!$1:$1, 0)) / SUM(INDEX(Volcado_Dist!$A:$ZZ, 0, MATCH(P$2, Volcado_Dist!$1:$1, 0))), 0)</f>
        <v>1.2353010313215741E-3</v>
      </c>
      <c r="Q50" s="16">
        <f>IFERROR(INDEX(Volcado_Dist!$A:$ZZ, MATCH($B50, Volcado_Dist!$A:$A, 0), MATCH(Q$2, Volcado_Dist!$1:$1, 0)) / SUM(INDEX(Volcado_Dist!$A:$ZZ, 0, MATCH(Q$2, Volcado_Dist!$1:$1, 0))), 0)</f>
        <v>0</v>
      </c>
      <c r="R50" s="16">
        <f>IFERROR(INDEX(Volcado_Dist!$A:$ZZ, MATCH($B50, Volcado_Dist!$A:$A, 0), MATCH(R$2, Volcado_Dist!$1:$1, 0)) / SUM(INDEX(Volcado_Dist!$A:$ZZ, 0, MATCH(R$2, Volcado_Dist!$1:$1, 0))), 0)</f>
        <v>0</v>
      </c>
      <c r="S50" s="16">
        <f>IFERROR(INDEX(Volcado_Dist!$A:$ZZ, MATCH($B50, Volcado_Dist!$A:$A, 0), MATCH(S$2, Volcado_Dist!$1:$1, 0)) / SUM(INDEX(Volcado_Dist!$A:$ZZ, 0, MATCH(S$2, Volcado_Dist!$1:$1, 0))), 0)</f>
        <v>3.4030505276903327E-3</v>
      </c>
      <c r="T50" s="16">
        <f>IFERROR(INDEX(Volcado_Dist!$A:$ZZ, MATCH($B50, Volcado_Dist!$A:$A, 0), MATCH(T$2, Volcado_Dist!$1:$1, 0)) / SUM(INDEX(Volcado_Dist!$A:$ZZ, 0, MATCH(T$2, Volcado_Dist!$1:$1, 0))), 0)</f>
        <v>0</v>
      </c>
      <c r="U50" s="16">
        <f>IFERROR(INDEX(Volcado_Dist!$A:$ZZ, MATCH($B50, Volcado_Dist!$A:$A, 0), MATCH(U$2, Volcado_Dist!$1:$1, 0)) / SUM(INDEX(Volcado_Dist!$A:$ZZ, 0, MATCH(U$2, Volcado_Dist!$1:$1, 0))), 0)</f>
        <v>0</v>
      </c>
      <c r="V50" s="16">
        <f>IFERROR(INDEX(Volcado_Dist!$A:$ZZ, MATCH($B50, Volcado_Dist!$A:$A, 0), MATCH(V$2, Volcado_Dist!$1:$1, 0)) / SUM(INDEX(Volcado_Dist!$A:$ZZ, 0, MATCH(V$2, Volcado_Dist!$1:$1, 0))), 0)</f>
        <v>0</v>
      </c>
      <c r="W50" s="16">
        <f t="shared" si="1"/>
        <v>6.2187102537116109E-4</v>
      </c>
      <c r="X50" s="17">
        <f>IFERROR(SUM(_xlfn.XLOOKUP($B50, Volcado_Vend!$A:$A, Volcado_Vend!$C:$ZZ, 0)) / SUM(Volcado_Vend!$C:$ZZ), 0)</f>
        <v>6.0921261869734235E-3</v>
      </c>
      <c r="Y50" s="24">
        <f t="shared" si="0"/>
        <v>3.3569986061722924E-3</v>
      </c>
    </row>
    <row r="51" spans="2:25" x14ac:dyDescent="0.25">
      <c r="B51" s="15" t="s">
        <v>75</v>
      </c>
      <c r="C51" s="16">
        <f>IFERROR(INDEX(Volcado_Dist!$A:$ZZ, MATCH($B51, Volcado_Dist!$A:$A, 0), MATCH(C$2, Volcado_Dist!$1:$1, 0)) / SUM(INDEX(Volcado_Dist!$A:$ZZ, 0, MATCH(C$2, Volcado_Dist!$1:$1, 0))), 0)</f>
        <v>2.4889484381808626E-3</v>
      </c>
      <c r="D51" s="16">
        <f>IFERROR(INDEX(Volcado_Dist!$A:$ZZ, MATCH($B51, Volcado_Dist!$A:$A, 0), MATCH(D$2, Volcado_Dist!$1:$1, 0)) / SUM(INDEX(Volcado_Dist!$A:$ZZ, 0, MATCH(D$2, Volcado_Dist!$1:$1, 0))), 0)</f>
        <v>0</v>
      </c>
      <c r="E51" s="16">
        <f>IFERROR(INDEX(Volcado_Dist!$A:$ZZ, MATCH($B51, Volcado_Dist!$A:$A, 0), MATCH(E$2, Volcado_Dist!$1:$1, 0)) / SUM(INDEX(Volcado_Dist!$A:$ZZ, 0, MATCH(E$2, Volcado_Dist!$1:$1, 0))), 0)</f>
        <v>1.1093029054640048E-2</v>
      </c>
      <c r="F51" s="16">
        <f>IFERROR(INDEX(Volcado_Dist!$A:$ZZ, MATCH($B51, Volcado_Dist!$A:$A, 0), MATCH(F$2, Volcado_Dist!$1:$1, 0)) / SUM(INDEX(Volcado_Dist!$A:$ZZ, 0, MATCH(F$2, Volcado_Dist!$1:$1, 0))), 0)</f>
        <v>-5.2245373400164536E-4</v>
      </c>
      <c r="G51" s="16">
        <f>IFERROR(INDEX(Volcado_Dist!$A:$ZZ, MATCH($B51, Volcado_Dist!$A:$A, 0), MATCH(G$2, Volcado_Dist!$1:$1, 0)) / SUM(INDEX(Volcado_Dist!$A:$ZZ, 0, MATCH(G$2, Volcado_Dist!$1:$1, 0))), 0)</f>
        <v>0</v>
      </c>
      <c r="H51" s="16">
        <f>IFERROR(INDEX(Volcado_Dist!$A:$ZZ, MATCH($B51, Volcado_Dist!$A:$A, 0), MATCH(H$2, Volcado_Dist!$1:$1, 0)) / SUM(INDEX(Volcado_Dist!$A:$ZZ, 0, MATCH(H$2, Volcado_Dist!$1:$1, 0))), 0)</f>
        <v>0</v>
      </c>
      <c r="I51" s="16">
        <f>IFERROR(INDEX(Volcado_Dist!$A:$ZZ, MATCH($B51, Volcado_Dist!$A:$A, 0), MATCH(I$2, Volcado_Dist!$1:$1, 0)) / SUM(INDEX(Volcado_Dist!$A:$ZZ, 0, MATCH(I$2, Volcado_Dist!$1:$1, 0))), 0)</f>
        <v>-3.8293150382671519E-4</v>
      </c>
      <c r="J51" s="16">
        <f>IFERROR(INDEX(Volcado_Dist!$A:$ZZ, MATCH($B51, Volcado_Dist!$A:$A, 0), MATCH(J$2, Volcado_Dist!$1:$1, 0)) / SUM(INDEX(Volcado_Dist!$A:$ZZ, 0, MATCH(J$2, Volcado_Dist!$1:$1, 0))), 0)</f>
        <v>0</v>
      </c>
      <c r="K51" s="16">
        <f>IFERROR(INDEX(Volcado_Dist!$A:$ZZ, MATCH($B51, Volcado_Dist!$A:$A, 0), MATCH(K$2, Volcado_Dist!$1:$1, 0)) / SUM(INDEX(Volcado_Dist!$A:$ZZ, 0, MATCH(K$2, Volcado_Dist!$1:$1, 0))), 0)</f>
        <v>3.6984322709033303E-3</v>
      </c>
      <c r="L51" s="16">
        <f>IFERROR(INDEX(Volcado_Dist!$A:$ZZ, MATCH($B51, Volcado_Dist!$A:$A, 0), MATCH(L$2, Volcado_Dist!$1:$1, 0)) / SUM(INDEX(Volcado_Dist!$A:$ZZ, 0, MATCH(L$2, Volcado_Dist!$1:$1, 0))), 0)</f>
        <v>1.2226777267589435E-3</v>
      </c>
      <c r="M51" s="16">
        <f>IFERROR(INDEX(Volcado_Dist!$A:$ZZ, MATCH($B51, Volcado_Dist!$A:$A, 0), MATCH(M$2, Volcado_Dist!$1:$1, 0)) / SUM(INDEX(Volcado_Dist!$A:$ZZ, 0, MATCH(M$2, Volcado_Dist!$1:$1, 0))), 0)</f>
        <v>6.2884826357383385E-3</v>
      </c>
      <c r="N51" s="16">
        <f>IFERROR(INDEX(Volcado_Dist!$A:$ZZ, MATCH($B51, Volcado_Dist!$A:$A, 0), MATCH(N$2, Volcado_Dist!$1:$1, 0)) / SUM(INDEX(Volcado_Dist!$A:$ZZ, 0, MATCH(N$2, Volcado_Dist!$1:$1, 0))), 0)</f>
        <v>0</v>
      </c>
      <c r="O51" s="16">
        <f>IFERROR(INDEX(Volcado_Dist!$A:$ZZ, MATCH($B51, Volcado_Dist!$A:$A, 0), MATCH(O$2, Volcado_Dist!$1:$1, 0)) / SUM(INDEX(Volcado_Dist!$A:$ZZ, 0, MATCH(O$2, Volcado_Dist!$1:$1, 0))), 0)</f>
        <v>6.0963228438048328E-2</v>
      </c>
      <c r="P51" s="16">
        <f>IFERROR(INDEX(Volcado_Dist!$A:$ZZ, MATCH($B51, Volcado_Dist!$A:$A, 0), MATCH(P$2, Volcado_Dist!$1:$1, 0)) / SUM(INDEX(Volcado_Dist!$A:$ZZ, 0, MATCH(P$2, Volcado_Dist!$1:$1, 0))), 0)</f>
        <v>1.8769543858504047E-3</v>
      </c>
      <c r="Q51" s="16">
        <f>IFERROR(INDEX(Volcado_Dist!$A:$ZZ, MATCH($B51, Volcado_Dist!$A:$A, 0), MATCH(Q$2, Volcado_Dist!$1:$1, 0)) / SUM(INDEX(Volcado_Dist!$A:$ZZ, 0, MATCH(Q$2, Volcado_Dist!$1:$1, 0))), 0)</f>
        <v>4.0109940879460735E-3</v>
      </c>
      <c r="R51" s="16">
        <f>IFERROR(INDEX(Volcado_Dist!$A:$ZZ, MATCH($B51, Volcado_Dist!$A:$A, 0), MATCH(R$2, Volcado_Dist!$1:$1, 0)) / SUM(INDEX(Volcado_Dist!$A:$ZZ, 0, MATCH(R$2, Volcado_Dist!$1:$1, 0))), 0)</f>
        <v>4.8729529203890946E-3</v>
      </c>
      <c r="S51" s="16">
        <f>IFERROR(INDEX(Volcado_Dist!$A:$ZZ, MATCH($B51, Volcado_Dist!$A:$A, 0), MATCH(S$2, Volcado_Dist!$1:$1, 0)) / SUM(INDEX(Volcado_Dist!$A:$ZZ, 0, MATCH(S$2, Volcado_Dist!$1:$1, 0))), 0)</f>
        <v>1.4139668324407615E-3</v>
      </c>
      <c r="T51" s="16">
        <f>IFERROR(INDEX(Volcado_Dist!$A:$ZZ, MATCH($B51, Volcado_Dist!$A:$A, 0), MATCH(T$2, Volcado_Dist!$1:$1, 0)) / SUM(INDEX(Volcado_Dist!$A:$ZZ, 0, MATCH(T$2, Volcado_Dist!$1:$1, 0))), 0)</f>
        <v>5.6808724803815176E-3</v>
      </c>
      <c r="U51" s="16">
        <f>IFERROR(INDEX(Volcado_Dist!$A:$ZZ, MATCH($B51, Volcado_Dist!$A:$A, 0), MATCH(U$2, Volcado_Dist!$1:$1, 0)) / SUM(INDEX(Volcado_Dist!$A:$ZZ, 0, MATCH(U$2, Volcado_Dist!$1:$1, 0))), 0)</f>
        <v>0</v>
      </c>
      <c r="V51" s="16">
        <f>IFERROR(INDEX(Volcado_Dist!$A:$ZZ, MATCH($B51, Volcado_Dist!$A:$A, 0), MATCH(V$2, Volcado_Dist!$1:$1, 0)) / SUM(INDEX(Volcado_Dist!$A:$ZZ, 0, MATCH(V$2, Volcado_Dist!$1:$1, 0))), 0)</f>
        <v>7.1108034557877901E-3</v>
      </c>
      <c r="W51" s="16">
        <f t="shared" si="1"/>
        <v>5.4907978744618575E-3</v>
      </c>
      <c r="X51" s="17">
        <f>IFERROR(SUM(_xlfn.XLOOKUP($B51, Volcado_Vend!$A:$A, Volcado_Vend!$C:$ZZ, 0)) / SUM(Volcado_Vend!$C:$ZZ), 0)</f>
        <v>3.2093243195249984E-3</v>
      </c>
      <c r="Y51" s="24">
        <f t="shared" si="0"/>
        <v>4.3500610969934277E-3</v>
      </c>
    </row>
    <row r="52" spans="2:25" x14ac:dyDescent="0.25">
      <c r="B52" s="15" t="s">
        <v>76</v>
      </c>
      <c r="C52" s="16">
        <f>IFERROR(INDEX(Volcado_Dist!$A:$ZZ, MATCH($B52, Volcado_Dist!$A:$A, 0), MATCH(C$2, Volcado_Dist!$1:$1, 0)) / SUM(INDEX(Volcado_Dist!$A:$ZZ, 0, MATCH(C$2, Volcado_Dist!$1:$1, 0))), 0)</f>
        <v>-1.2284525450123212E-3</v>
      </c>
      <c r="D52" s="16">
        <f>IFERROR(INDEX(Volcado_Dist!$A:$ZZ, MATCH($B52, Volcado_Dist!$A:$A, 0), MATCH(D$2, Volcado_Dist!$1:$1, 0)) / SUM(INDEX(Volcado_Dist!$A:$ZZ, 0, MATCH(D$2, Volcado_Dist!$1:$1, 0))), 0)</f>
        <v>0</v>
      </c>
      <c r="E52" s="16">
        <f>IFERROR(INDEX(Volcado_Dist!$A:$ZZ, MATCH($B52, Volcado_Dist!$A:$A, 0), MATCH(E$2, Volcado_Dist!$1:$1, 0)) / SUM(INDEX(Volcado_Dist!$A:$ZZ, 0, MATCH(E$2, Volcado_Dist!$1:$1, 0))), 0)</f>
        <v>-8.704356067066165E-4</v>
      </c>
      <c r="F52" s="16">
        <f>IFERROR(INDEX(Volcado_Dist!$A:$ZZ, MATCH($B52, Volcado_Dist!$A:$A, 0), MATCH(F$2, Volcado_Dist!$1:$1, 0)) / SUM(INDEX(Volcado_Dist!$A:$ZZ, 0, MATCH(F$2, Volcado_Dist!$1:$1, 0))), 0)</f>
        <v>2.6426438871013456E-4</v>
      </c>
      <c r="G52" s="16">
        <f>IFERROR(INDEX(Volcado_Dist!$A:$ZZ, MATCH($B52, Volcado_Dist!$A:$A, 0), MATCH(G$2, Volcado_Dist!$1:$1, 0)) / SUM(INDEX(Volcado_Dist!$A:$ZZ, 0, MATCH(G$2, Volcado_Dist!$1:$1, 0))), 0)</f>
        <v>0</v>
      </c>
      <c r="H52" s="16">
        <f>IFERROR(INDEX(Volcado_Dist!$A:$ZZ, MATCH($B52, Volcado_Dist!$A:$A, 0), MATCH(H$2, Volcado_Dist!$1:$1, 0)) / SUM(INDEX(Volcado_Dist!$A:$ZZ, 0, MATCH(H$2, Volcado_Dist!$1:$1, 0))), 0)</f>
        <v>0</v>
      </c>
      <c r="I52" s="16">
        <f>IFERROR(INDEX(Volcado_Dist!$A:$ZZ, MATCH($B52, Volcado_Dist!$A:$A, 0), MATCH(I$2, Volcado_Dist!$1:$1, 0)) / SUM(INDEX(Volcado_Dist!$A:$ZZ, 0, MATCH(I$2, Volcado_Dist!$1:$1, 0))), 0)</f>
        <v>3.887463896255653E-4</v>
      </c>
      <c r="J52" s="16">
        <f>IFERROR(INDEX(Volcado_Dist!$A:$ZZ, MATCH($B52, Volcado_Dist!$A:$A, 0), MATCH(J$2, Volcado_Dist!$1:$1, 0)) / SUM(INDEX(Volcado_Dist!$A:$ZZ, 0, MATCH(J$2, Volcado_Dist!$1:$1, 0))), 0)</f>
        <v>0</v>
      </c>
      <c r="K52" s="16">
        <f>IFERROR(INDEX(Volcado_Dist!$A:$ZZ, MATCH($B52, Volcado_Dist!$A:$A, 0), MATCH(K$2, Volcado_Dist!$1:$1, 0)) / SUM(INDEX(Volcado_Dist!$A:$ZZ, 0, MATCH(K$2, Volcado_Dist!$1:$1, 0))), 0)</f>
        <v>8.0363986789169111E-4</v>
      </c>
      <c r="L52" s="16">
        <f>IFERROR(INDEX(Volcado_Dist!$A:$ZZ, MATCH($B52, Volcado_Dist!$A:$A, 0), MATCH(L$2, Volcado_Dist!$1:$1, 0)) / SUM(INDEX(Volcado_Dist!$A:$ZZ, 0, MATCH(L$2, Volcado_Dist!$1:$1, 0))), 0)</f>
        <v>7.872917918625449E-4</v>
      </c>
      <c r="M52" s="16">
        <f>IFERROR(INDEX(Volcado_Dist!$A:$ZZ, MATCH($B52, Volcado_Dist!$A:$A, 0), MATCH(M$2, Volcado_Dist!$1:$1, 0)) / SUM(INDEX(Volcado_Dist!$A:$ZZ, 0, MATCH(M$2, Volcado_Dist!$1:$1, 0))), 0)</f>
        <v>8.13550102273136E-3</v>
      </c>
      <c r="N52" s="16">
        <f>IFERROR(INDEX(Volcado_Dist!$A:$ZZ, MATCH($B52, Volcado_Dist!$A:$A, 0), MATCH(N$2, Volcado_Dist!$1:$1, 0)) / SUM(INDEX(Volcado_Dist!$A:$ZZ, 0, MATCH(N$2, Volcado_Dist!$1:$1, 0))), 0)</f>
        <v>0</v>
      </c>
      <c r="O52" s="16">
        <f>IFERROR(INDEX(Volcado_Dist!$A:$ZZ, MATCH($B52, Volcado_Dist!$A:$A, 0), MATCH(O$2, Volcado_Dist!$1:$1, 0)) / SUM(INDEX(Volcado_Dist!$A:$ZZ, 0, MATCH(O$2, Volcado_Dist!$1:$1, 0))), 0)</f>
        <v>5.5467467449595974E-3</v>
      </c>
      <c r="P52" s="16">
        <f>IFERROR(INDEX(Volcado_Dist!$A:$ZZ, MATCH($B52, Volcado_Dist!$A:$A, 0), MATCH(P$2, Volcado_Dist!$1:$1, 0)) / SUM(INDEX(Volcado_Dist!$A:$ZZ, 0, MATCH(P$2, Volcado_Dist!$1:$1, 0))), 0)</f>
        <v>5.219772283416832E-4</v>
      </c>
      <c r="Q52" s="16">
        <f>IFERROR(INDEX(Volcado_Dist!$A:$ZZ, MATCH($B52, Volcado_Dist!$A:$A, 0), MATCH(Q$2, Volcado_Dist!$1:$1, 0)) / SUM(INDEX(Volcado_Dist!$A:$ZZ, 0, MATCH(Q$2, Volcado_Dist!$1:$1, 0))), 0)</f>
        <v>0</v>
      </c>
      <c r="R52" s="16">
        <f>IFERROR(INDEX(Volcado_Dist!$A:$ZZ, MATCH($B52, Volcado_Dist!$A:$A, 0), MATCH(R$2, Volcado_Dist!$1:$1, 0)) / SUM(INDEX(Volcado_Dist!$A:$ZZ, 0, MATCH(R$2, Volcado_Dist!$1:$1, 0))), 0)</f>
        <v>0</v>
      </c>
      <c r="S52" s="16">
        <f>IFERROR(INDEX(Volcado_Dist!$A:$ZZ, MATCH($B52, Volcado_Dist!$A:$A, 0), MATCH(S$2, Volcado_Dist!$1:$1, 0)) / SUM(INDEX(Volcado_Dist!$A:$ZZ, 0, MATCH(S$2, Volcado_Dist!$1:$1, 0))), 0)</f>
        <v>-1.0506306325765078E-5</v>
      </c>
      <c r="T52" s="16">
        <f>IFERROR(INDEX(Volcado_Dist!$A:$ZZ, MATCH($B52, Volcado_Dist!$A:$A, 0), MATCH(T$2, Volcado_Dist!$1:$1, 0)) / SUM(INDEX(Volcado_Dist!$A:$ZZ, 0, MATCH(T$2, Volcado_Dist!$1:$1, 0))), 0)</f>
        <v>0</v>
      </c>
      <c r="U52" s="16">
        <f>IFERROR(INDEX(Volcado_Dist!$A:$ZZ, MATCH($B52, Volcado_Dist!$A:$A, 0), MATCH(U$2, Volcado_Dist!$1:$1, 0)) / SUM(INDEX(Volcado_Dist!$A:$ZZ, 0, MATCH(U$2, Volcado_Dist!$1:$1, 0))), 0)</f>
        <v>0</v>
      </c>
      <c r="V52" s="16">
        <f>IFERROR(INDEX(Volcado_Dist!$A:$ZZ, MATCH($B52, Volcado_Dist!$A:$A, 0), MATCH(V$2, Volcado_Dist!$1:$1, 0)) / SUM(INDEX(Volcado_Dist!$A:$ZZ, 0, MATCH(V$2, Volcado_Dist!$1:$1, 0))), 0)</f>
        <v>2.0631072472674472E-3</v>
      </c>
      <c r="W52" s="16">
        <f t="shared" si="1"/>
        <v>8.2009401116726606E-4</v>
      </c>
      <c r="X52" s="17">
        <f>IFERROR(SUM(_xlfn.XLOOKUP($B52, Volcado_Vend!$A:$A, Volcado_Vend!$C:$ZZ, 0)) / SUM(Volcado_Vend!$C:$ZZ), 0)</f>
        <v>-1.1727701794194546E-4</v>
      </c>
      <c r="Y52" s="24">
        <f t="shared" si="0"/>
        <v>3.5140849661266028E-4</v>
      </c>
    </row>
    <row r="53" spans="2:25" x14ac:dyDescent="0.25">
      <c r="B53" s="15" t="s">
        <v>77</v>
      </c>
      <c r="C53" s="16">
        <f>IFERROR(INDEX(Volcado_Dist!$A:$ZZ, MATCH($B53, Volcado_Dist!$A:$A, 0), MATCH(C$2, Volcado_Dist!$1:$1, 0)) / SUM(INDEX(Volcado_Dist!$A:$ZZ, 0, MATCH(C$2, Volcado_Dist!$1:$1, 0))), 0)</f>
        <v>3.2270148477586136E-2</v>
      </c>
      <c r="D53" s="16">
        <f>IFERROR(INDEX(Volcado_Dist!$A:$ZZ, MATCH($B53, Volcado_Dist!$A:$A, 0), MATCH(D$2, Volcado_Dist!$1:$1, 0)) / SUM(INDEX(Volcado_Dist!$A:$ZZ, 0, MATCH(D$2, Volcado_Dist!$1:$1, 0))), 0)</f>
        <v>0</v>
      </c>
      <c r="E53" s="16">
        <f>IFERROR(INDEX(Volcado_Dist!$A:$ZZ, MATCH($B53, Volcado_Dist!$A:$A, 0), MATCH(E$2, Volcado_Dist!$1:$1, 0)) / SUM(INDEX(Volcado_Dist!$A:$ZZ, 0, MATCH(E$2, Volcado_Dist!$1:$1, 0))), 0)</f>
        <v>1.600554960494081E-2</v>
      </c>
      <c r="F53" s="16">
        <f>IFERROR(INDEX(Volcado_Dist!$A:$ZZ, MATCH($B53, Volcado_Dist!$A:$A, 0), MATCH(F$2, Volcado_Dist!$1:$1, 0)) / SUM(INDEX(Volcado_Dist!$A:$ZZ, 0, MATCH(F$2, Volcado_Dist!$1:$1, 0))), 0)</f>
        <v>5.1168126927696823E-2</v>
      </c>
      <c r="G53" s="16">
        <f>IFERROR(INDEX(Volcado_Dist!$A:$ZZ, MATCH($B53, Volcado_Dist!$A:$A, 0), MATCH(G$2, Volcado_Dist!$1:$1, 0)) / SUM(INDEX(Volcado_Dist!$A:$ZZ, 0, MATCH(G$2, Volcado_Dist!$1:$1, 0))), 0)</f>
        <v>2.245477559518029E-2</v>
      </c>
      <c r="H53" s="16">
        <f>IFERROR(INDEX(Volcado_Dist!$A:$ZZ, MATCH($B53, Volcado_Dist!$A:$A, 0), MATCH(H$2, Volcado_Dist!$1:$1, 0)) / SUM(INDEX(Volcado_Dist!$A:$ZZ, 0, MATCH(H$2, Volcado_Dist!$1:$1, 0))), 0)</f>
        <v>3.8689346062644604E-2</v>
      </c>
      <c r="I53" s="16">
        <f>IFERROR(INDEX(Volcado_Dist!$A:$ZZ, MATCH($B53, Volcado_Dist!$A:$A, 0), MATCH(I$2, Volcado_Dist!$1:$1, 0)) / SUM(INDEX(Volcado_Dist!$A:$ZZ, 0, MATCH(I$2, Volcado_Dist!$1:$1, 0))), 0)</f>
        <v>3.6798199790190077E-2</v>
      </c>
      <c r="J53" s="16">
        <f>IFERROR(INDEX(Volcado_Dist!$A:$ZZ, MATCH($B53, Volcado_Dist!$A:$A, 0), MATCH(J$2, Volcado_Dist!$1:$1, 0)) / SUM(INDEX(Volcado_Dist!$A:$ZZ, 0, MATCH(J$2, Volcado_Dist!$1:$1, 0))), 0)</f>
        <v>0</v>
      </c>
      <c r="K53" s="16">
        <f>IFERROR(INDEX(Volcado_Dist!$A:$ZZ, MATCH($B53, Volcado_Dist!$A:$A, 0), MATCH(K$2, Volcado_Dist!$1:$1, 0)) / SUM(INDEX(Volcado_Dist!$A:$ZZ, 0, MATCH(K$2, Volcado_Dist!$1:$1, 0))), 0)</f>
        <v>4.0773844992822654E-2</v>
      </c>
      <c r="L53" s="16">
        <f>IFERROR(INDEX(Volcado_Dist!$A:$ZZ, MATCH($B53, Volcado_Dist!$A:$A, 0), MATCH(L$2, Volcado_Dist!$1:$1, 0)) / SUM(INDEX(Volcado_Dist!$A:$ZZ, 0, MATCH(L$2, Volcado_Dist!$1:$1, 0))), 0)</f>
        <v>1.6683120289459681E-2</v>
      </c>
      <c r="M53" s="16">
        <f>IFERROR(INDEX(Volcado_Dist!$A:$ZZ, MATCH($B53, Volcado_Dist!$A:$A, 0), MATCH(M$2, Volcado_Dist!$1:$1, 0)) / SUM(INDEX(Volcado_Dist!$A:$ZZ, 0, MATCH(M$2, Volcado_Dist!$1:$1, 0))), 0)</f>
        <v>0.21332757238820488</v>
      </c>
      <c r="N53" s="16">
        <f>IFERROR(INDEX(Volcado_Dist!$A:$ZZ, MATCH($B53, Volcado_Dist!$A:$A, 0), MATCH(N$2, Volcado_Dist!$1:$1, 0)) / SUM(INDEX(Volcado_Dist!$A:$ZZ, 0, MATCH(N$2, Volcado_Dist!$1:$1, 0))), 0)</f>
        <v>0</v>
      </c>
      <c r="O53" s="16">
        <f>IFERROR(INDEX(Volcado_Dist!$A:$ZZ, MATCH($B53, Volcado_Dist!$A:$A, 0), MATCH(O$2, Volcado_Dist!$1:$1, 0)) / SUM(INDEX(Volcado_Dist!$A:$ZZ, 0, MATCH(O$2, Volcado_Dist!$1:$1, 0))), 0)</f>
        <v>4.5629104805052344E-3</v>
      </c>
      <c r="P53" s="16">
        <f>IFERROR(INDEX(Volcado_Dist!$A:$ZZ, MATCH($B53, Volcado_Dist!$A:$A, 0), MATCH(P$2, Volcado_Dist!$1:$1, 0)) / SUM(INDEX(Volcado_Dist!$A:$ZZ, 0, MATCH(P$2, Volcado_Dist!$1:$1, 0))), 0)</f>
        <v>2.6116730733746474E-2</v>
      </c>
      <c r="Q53" s="16">
        <f>IFERROR(INDEX(Volcado_Dist!$A:$ZZ, MATCH($B53, Volcado_Dist!$A:$A, 0), MATCH(Q$2, Volcado_Dist!$1:$1, 0)) / SUM(INDEX(Volcado_Dist!$A:$ZZ, 0, MATCH(Q$2, Volcado_Dist!$1:$1, 0))), 0)</f>
        <v>5.2165528598830113E-2</v>
      </c>
      <c r="R53" s="16">
        <f>IFERROR(INDEX(Volcado_Dist!$A:$ZZ, MATCH($B53, Volcado_Dist!$A:$A, 0), MATCH(R$2, Volcado_Dist!$1:$1, 0)) / SUM(INDEX(Volcado_Dist!$A:$ZZ, 0, MATCH(R$2, Volcado_Dist!$1:$1, 0))), 0)</f>
        <v>3.0508922632001289E-2</v>
      </c>
      <c r="S53" s="16">
        <f>IFERROR(INDEX(Volcado_Dist!$A:$ZZ, MATCH($B53, Volcado_Dist!$A:$A, 0), MATCH(S$2, Volcado_Dist!$1:$1, 0)) / SUM(INDEX(Volcado_Dist!$A:$ZZ, 0, MATCH(S$2, Volcado_Dist!$1:$1, 0))), 0)</f>
        <v>3.0747160459869565E-2</v>
      </c>
      <c r="T53" s="16">
        <f>IFERROR(INDEX(Volcado_Dist!$A:$ZZ, MATCH($B53, Volcado_Dist!$A:$A, 0), MATCH(T$2, Volcado_Dist!$1:$1, 0)) / SUM(INDEX(Volcado_Dist!$A:$ZZ, 0, MATCH(T$2, Volcado_Dist!$1:$1, 0))), 0)</f>
        <v>3.0789676754540588E-2</v>
      </c>
      <c r="U53" s="16">
        <f>IFERROR(INDEX(Volcado_Dist!$A:$ZZ, MATCH($B53, Volcado_Dist!$A:$A, 0), MATCH(U$2, Volcado_Dist!$1:$1, 0)) / SUM(INDEX(Volcado_Dist!$A:$ZZ, 0, MATCH(U$2, Volcado_Dist!$1:$1, 0))), 0)</f>
        <v>0.16711531463462986</v>
      </c>
      <c r="V53" s="16">
        <f>IFERROR(INDEX(Volcado_Dist!$A:$ZZ, MATCH($B53, Volcado_Dist!$A:$A, 0), MATCH(V$2, Volcado_Dist!$1:$1, 0)) / SUM(INDEX(Volcado_Dist!$A:$ZZ, 0, MATCH(V$2, Volcado_Dist!$1:$1, 0))), 0)</f>
        <v>8.9868703259883775E-2</v>
      </c>
      <c r="W53" s="16">
        <f t="shared" si="1"/>
        <v>4.500228158413664E-2</v>
      </c>
      <c r="X53" s="17">
        <f>IFERROR(SUM(_xlfn.XLOOKUP($B53, Volcado_Vend!$A:$A, Volcado_Vend!$C:$ZZ, 0)) / SUM(Volcado_Vend!$C:$ZZ), 0)</f>
        <v>7.2650695159523868E-2</v>
      </c>
      <c r="Y53" s="24">
        <f t="shared" si="0"/>
        <v>5.8826488371830257E-2</v>
      </c>
    </row>
    <row r="54" spans="2:25" x14ac:dyDescent="0.25">
      <c r="B54" s="15" t="s">
        <v>78</v>
      </c>
      <c r="C54" s="16">
        <f>IFERROR(INDEX(Volcado_Dist!$A:$ZZ, MATCH($B54, Volcado_Dist!$A:$A, 0), MATCH(C$2, Volcado_Dist!$1:$1, 0)) / SUM(INDEX(Volcado_Dist!$A:$ZZ, 0, MATCH(C$2, Volcado_Dist!$1:$1, 0))), 0)</f>
        <v>0</v>
      </c>
      <c r="D54" s="16">
        <f>IFERROR(INDEX(Volcado_Dist!$A:$ZZ, MATCH($B54, Volcado_Dist!$A:$A, 0), MATCH(D$2, Volcado_Dist!$1:$1, 0)) / SUM(INDEX(Volcado_Dist!$A:$ZZ, 0, MATCH(D$2, Volcado_Dist!$1:$1, 0))), 0)</f>
        <v>0</v>
      </c>
      <c r="E54" s="16">
        <f>IFERROR(INDEX(Volcado_Dist!$A:$ZZ, MATCH($B54, Volcado_Dist!$A:$A, 0), MATCH(E$2, Volcado_Dist!$1:$1, 0)) / SUM(INDEX(Volcado_Dist!$A:$ZZ, 0, MATCH(E$2, Volcado_Dist!$1:$1, 0))), 0)</f>
        <v>0</v>
      </c>
      <c r="F54" s="16">
        <f>IFERROR(INDEX(Volcado_Dist!$A:$ZZ, MATCH($B54, Volcado_Dist!$A:$A, 0), MATCH(F$2, Volcado_Dist!$1:$1, 0)) / SUM(INDEX(Volcado_Dist!$A:$ZZ, 0, MATCH(F$2, Volcado_Dist!$1:$1, 0))), 0)</f>
        <v>2.0504220763389426E-3</v>
      </c>
      <c r="G54" s="16">
        <f>IFERROR(INDEX(Volcado_Dist!$A:$ZZ, MATCH($B54, Volcado_Dist!$A:$A, 0), MATCH(G$2, Volcado_Dist!$1:$1, 0)) / SUM(INDEX(Volcado_Dist!$A:$ZZ, 0, MATCH(G$2, Volcado_Dist!$1:$1, 0))), 0)</f>
        <v>0</v>
      </c>
      <c r="H54" s="16">
        <f>IFERROR(INDEX(Volcado_Dist!$A:$ZZ, MATCH($B54, Volcado_Dist!$A:$A, 0), MATCH(H$2, Volcado_Dist!$1:$1, 0)) / SUM(INDEX(Volcado_Dist!$A:$ZZ, 0, MATCH(H$2, Volcado_Dist!$1:$1, 0))), 0)</f>
        <v>0</v>
      </c>
      <c r="I54" s="16">
        <f>IFERROR(INDEX(Volcado_Dist!$A:$ZZ, MATCH($B54, Volcado_Dist!$A:$A, 0), MATCH(I$2, Volcado_Dist!$1:$1, 0)) / SUM(INDEX(Volcado_Dist!$A:$ZZ, 0, MATCH(I$2, Volcado_Dist!$1:$1, 0))), 0)</f>
        <v>-1.7208157131560686E-4</v>
      </c>
      <c r="J54" s="16">
        <f>IFERROR(INDEX(Volcado_Dist!$A:$ZZ, MATCH($B54, Volcado_Dist!$A:$A, 0), MATCH(J$2, Volcado_Dist!$1:$1, 0)) / SUM(INDEX(Volcado_Dist!$A:$ZZ, 0, MATCH(J$2, Volcado_Dist!$1:$1, 0))), 0)</f>
        <v>0</v>
      </c>
      <c r="K54" s="16">
        <f>IFERROR(INDEX(Volcado_Dist!$A:$ZZ, MATCH($B54, Volcado_Dist!$A:$A, 0), MATCH(K$2, Volcado_Dist!$1:$1, 0)) / SUM(INDEX(Volcado_Dist!$A:$ZZ, 0, MATCH(K$2, Volcado_Dist!$1:$1, 0))), 0)</f>
        <v>3.0338746965046918E-3</v>
      </c>
      <c r="L54" s="16">
        <f>IFERROR(INDEX(Volcado_Dist!$A:$ZZ, MATCH($B54, Volcado_Dist!$A:$A, 0), MATCH(L$2, Volcado_Dist!$1:$1, 0)) / SUM(INDEX(Volcado_Dist!$A:$ZZ, 0, MATCH(L$2, Volcado_Dist!$1:$1, 0))), 0)</f>
        <v>2.2804313971190956E-4</v>
      </c>
      <c r="M54" s="16">
        <f>IFERROR(INDEX(Volcado_Dist!$A:$ZZ, MATCH($B54, Volcado_Dist!$A:$A, 0), MATCH(M$2, Volcado_Dist!$1:$1, 0)) / SUM(INDEX(Volcado_Dist!$A:$ZZ, 0, MATCH(M$2, Volcado_Dist!$1:$1, 0))), 0)</f>
        <v>0</v>
      </c>
      <c r="N54" s="16">
        <f>IFERROR(INDEX(Volcado_Dist!$A:$ZZ, MATCH($B54, Volcado_Dist!$A:$A, 0), MATCH(N$2, Volcado_Dist!$1:$1, 0)) / SUM(INDEX(Volcado_Dist!$A:$ZZ, 0, MATCH(N$2, Volcado_Dist!$1:$1, 0))), 0)</f>
        <v>0</v>
      </c>
      <c r="O54" s="16">
        <f>IFERROR(INDEX(Volcado_Dist!$A:$ZZ, MATCH($B54, Volcado_Dist!$A:$A, 0), MATCH(O$2, Volcado_Dist!$1:$1, 0)) / SUM(INDEX(Volcado_Dist!$A:$ZZ, 0, MATCH(O$2, Volcado_Dist!$1:$1, 0))), 0)</f>
        <v>4.9109984230792988E-3</v>
      </c>
      <c r="P54" s="16">
        <f>IFERROR(INDEX(Volcado_Dist!$A:$ZZ, MATCH($B54, Volcado_Dist!$A:$A, 0), MATCH(P$2, Volcado_Dist!$1:$1, 0)) / SUM(INDEX(Volcado_Dist!$A:$ZZ, 0, MATCH(P$2, Volcado_Dist!$1:$1, 0))), 0)</f>
        <v>7.9175561449237148E-4</v>
      </c>
      <c r="Q54" s="16">
        <f>IFERROR(INDEX(Volcado_Dist!$A:$ZZ, MATCH($B54, Volcado_Dist!$A:$A, 0), MATCH(Q$2, Volcado_Dist!$1:$1, 0)) / SUM(INDEX(Volcado_Dist!$A:$ZZ, 0, MATCH(Q$2, Volcado_Dist!$1:$1, 0))), 0)</f>
        <v>4.6012913310777598E-4</v>
      </c>
      <c r="R54" s="16">
        <f>IFERROR(INDEX(Volcado_Dist!$A:$ZZ, MATCH($B54, Volcado_Dist!$A:$A, 0), MATCH(R$2, Volcado_Dist!$1:$1, 0)) / SUM(INDEX(Volcado_Dist!$A:$ZZ, 0, MATCH(R$2, Volcado_Dist!$1:$1, 0))), 0)</f>
        <v>0</v>
      </c>
      <c r="S54" s="16">
        <f>IFERROR(INDEX(Volcado_Dist!$A:$ZZ, MATCH($B54, Volcado_Dist!$A:$A, 0), MATCH(S$2, Volcado_Dist!$1:$1, 0)) / SUM(INDEX(Volcado_Dist!$A:$ZZ, 0, MATCH(S$2, Volcado_Dist!$1:$1, 0))), 0)</f>
        <v>0</v>
      </c>
      <c r="T54" s="16">
        <f>IFERROR(INDEX(Volcado_Dist!$A:$ZZ, MATCH($B54, Volcado_Dist!$A:$A, 0), MATCH(T$2, Volcado_Dist!$1:$1, 0)) / SUM(INDEX(Volcado_Dist!$A:$ZZ, 0, MATCH(T$2, Volcado_Dist!$1:$1, 0))), 0)</f>
        <v>7.8873379848492804E-5</v>
      </c>
      <c r="U54" s="16">
        <f>IFERROR(INDEX(Volcado_Dist!$A:$ZZ, MATCH($B54, Volcado_Dist!$A:$A, 0), MATCH(U$2, Volcado_Dist!$1:$1, 0)) / SUM(INDEX(Volcado_Dist!$A:$ZZ, 0, MATCH(U$2, Volcado_Dist!$1:$1, 0))), 0)</f>
        <v>0</v>
      </c>
      <c r="V54" s="16">
        <f>IFERROR(INDEX(Volcado_Dist!$A:$ZZ, MATCH($B54, Volcado_Dist!$A:$A, 0), MATCH(V$2, Volcado_Dist!$1:$1, 0)) / SUM(INDEX(Volcado_Dist!$A:$ZZ, 0, MATCH(V$2, Volcado_Dist!$1:$1, 0))), 0)</f>
        <v>0</v>
      </c>
      <c r="W54" s="16">
        <f t="shared" si="1"/>
        <v>5.6910074458839388E-4</v>
      </c>
      <c r="X54" s="17">
        <f>IFERROR(SUM(_xlfn.XLOOKUP($B54, Volcado_Vend!$A:$A, Volcado_Vend!$C:$ZZ, 0)) / SUM(Volcado_Vend!$C:$ZZ), 0)</f>
        <v>3.2022157832959693E-3</v>
      </c>
      <c r="Y54" s="24">
        <f t="shared" si="0"/>
        <v>1.8856582639421816E-3</v>
      </c>
    </row>
    <row r="55" spans="2:25" x14ac:dyDescent="0.25">
      <c r="B55" s="15" t="s">
        <v>79</v>
      </c>
      <c r="C55" s="16">
        <f>IFERROR(INDEX(Volcado_Dist!$A:$ZZ, MATCH($B55, Volcado_Dist!$A:$A, 0), MATCH(C$2, Volcado_Dist!$1:$1, 0)) / SUM(INDEX(Volcado_Dist!$A:$ZZ, 0, MATCH(C$2, Volcado_Dist!$1:$1, 0))), 0)</f>
        <v>0</v>
      </c>
      <c r="D55" s="16">
        <f>IFERROR(INDEX(Volcado_Dist!$A:$ZZ, MATCH($B55, Volcado_Dist!$A:$A, 0), MATCH(D$2, Volcado_Dist!$1:$1, 0)) / SUM(INDEX(Volcado_Dist!$A:$ZZ, 0, MATCH(D$2, Volcado_Dist!$1:$1, 0))), 0)</f>
        <v>0</v>
      </c>
      <c r="E55" s="16">
        <f>IFERROR(INDEX(Volcado_Dist!$A:$ZZ, MATCH($B55, Volcado_Dist!$A:$A, 0), MATCH(E$2, Volcado_Dist!$1:$1, 0)) / SUM(INDEX(Volcado_Dist!$A:$ZZ, 0, MATCH(E$2, Volcado_Dist!$1:$1, 0))), 0)</f>
        <v>0</v>
      </c>
      <c r="F55" s="16">
        <f>IFERROR(INDEX(Volcado_Dist!$A:$ZZ, MATCH($B55, Volcado_Dist!$A:$A, 0), MATCH(F$2, Volcado_Dist!$1:$1, 0)) / SUM(INDEX(Volcado_Dist!$A:$ZZ, 0, MATCH(F$2, Volcado_Dist!$1:$1, 0))), 0)</f>
        <v>-1.8025792893697757E-4</v>
      </c>
      <c r="G55" s="16">
        <f>IFERROR(INDEX(Volcado_Dist!$A:$ZZ, MATCH($B55, Volcado_Dist!$A:$A, 0), MATCH(G$2, Volcado_Dist!$1:$1, 0)) / SUM(INDEX(Volcado_Dist!$A:$ZZ, 0, MATCH(G$2, Volcado_Dist!$1:$1, 0))), 0)</f>
        <v>0</v>
      </c>
      <c r="H55" s="16">
        <f>IFERROR(INDEX(Volcado_Dist!$A:$ZZ, MATCH($B55, Volcado_Dist!$A:$A, 0), MATCH(H$2, Volcado_Dist!$1:$1, 0)) / SUM(INDEX(Volcado_Dist!$A:$ZZ, 0, MATCH(H$2, Volcado_Dist!$1:$1, 0))), 0)</f>
        <v>0</v>
      </c>
      <c r="I55" s="16">
        <f>IFERROR(INDEX(Volcado_Dist!$A:$ZZ, MATCH($B55, Volcado_Dist!$A:$A, 0), MATCH(I$2, Volcado_Dist!$1:$1, 0)) / SUM(INDEX(Volcado_Dist!$A:$ZZ, 0, MATCH(I$2, Volcado_Dist!$1:$1, 0))), 0)</f>
        <v>-3.6874885553683686E-5</v>
      </c>
      <c r="J55" s="16">
        <f>IFERROR(INDEX(Volcado_Dist!$A:$ZZ, MATCH($B55, Volcado_Dist!$A:$A, 0), MATCH(J$2, Volcado_Dist!$1:$1, 0)) / SUM(INDEX(Volcado_Dist!$A:$ZZ, 0, MATCH(J$2, Volcado_Dist!$1:$1, 0))), 0)</f>
        <v>0</v>
      </c>
      <c r="K55" s="16">
        <f>IFERROR(INDEX(Volcado_Dist!$A:$ZZ, MATCH($B55, Volcado_Dist!$A:$A, 0), MATCH(K$2, Volcado_Dist!$1:$1, 0)) / SUM(INDEX(Volcado_Dist!$A:$ZZ, 0, MATCH(K$2, Volcado_Dist!$1:$1, 0))), 0)</f>
        <v>9.8245518649308131E-5</v>
      </c>
      <c r="L55" s="16">
        <f>IFERROR(INDEX(Volcado_Dist!$A:$ZZ, MATCH($B55, Volcado_Dist!$A:$A, 0), MATCH(L$2, Volcado_Dist!$1:$1, 0)) / SUM(INDEX(Volcado_Dist!$A:$ZZ, 0, MATCH(L$2, Volcado_Dist!$1:$1, 0))), 0)</f>
        <v>0</v>
      </c>
      <c r="M55" s="16">
        <f>IFERROR(INDEX(Volcado_Dist!$A:$ZZ, MATCH($B55, Volcado_Dist!$A:$A, 0), MATCH(M$2, Volcado_Dist!$1:$1, 0)) / SUM(INDEX(Volcado_Dist!$A:$ZZ, 0, MATCH(M$2, Volcado_Dist!$1:$1, 0))), 0)</f>
        <v>0</v>
      </c>
      <c r="N55" s="16">
        <f>IFERROR(INDEX(Volcado_Dist!$A:$ZZ, MATCH($B55, Volcado_Dist!$A:$A, 0), MATCH(N$2, Volcado_Dist!$1:$1, 0)) / SUM(INDEX(Volcado_Dist!$A:$ZZ, 0, MATCH(N$2, Volcado_Dist!$1:$1, 0))), 0)</f>
        <v>0</v>
      </c>
      <c r="O55" s="16">
        <f>IFERROR(INDEX(Volcado_Dist!$A:$ZZ, MATCH($B55, Volcado_Dist!$A:$A, 0), MATCH(O$2, Volcado_Dist!$1:$1, 0)) / SUM(INDEX(Volcado_Dist!$A:$ZZ, 0, MATCH(O$2, Volcado_Dist!$1:$1, 0))), 0)</f>
        <v>0</v>
      </c>
      <c r="P55" s="16">
        <f>IFERROR(INDEX(Volcado_Dist!$A:$ZZ, MATCH($B55, Volcado_Dist!$A:$A, 0), MATCH(P$2, Volcado_Dist!$1:$1, 0)) / SUM(INDEX(Volcado_Dist!$A:$ZZ, 0, MATCH(P$2, Volcado_Dist!$1:$1, 0))), 0)</f>
        <v>0</v>
      </c>
      <c r="Q55" s="16">
        <f>IFERROR(INDEX(Volcado_Dist!$A:$ZZ, MATCH($B55, Volcado_Dist!$A:$A, 0), MATCH(Q$2, Volcado_Dist!$1:$1, 0)) / SUM(INDEX(Volcado_Dist!$A:$ZZ, 0, MATCH(Q$2, Volcado_Dist!$1:$1, 0))), 0)</f>
        <v>0</v>
      </c>
      <c r="R55" s="16">
        <f>IFERROR(INDEX(Volcado_Dist!$A:$ZZ, MATCH($B55, Volcado_Dist!$A:$A, 0), MATCH(R$2, Volcado_Dist!$1:$1, 0)) / SUM(INDEX(Volcado_Dist!$A:$ZZ, 0, MATCH(R$2, Volcado_Dist!$1:$1, 0))), 0)</f>
        <v>0</v>
      </c>
      <c r="S55" s="16">
        <f>IFERROR(INDEX(Volcado_Dist!$A:$ZZ, MATCH($B55, Volcado_Dist!$A:$A, 0), MATCH(S$2, Volcado_Dist!$1:$1, 0)) / SUM(INDEX(Volcado_Dist!$A:$ZZ, 0, MATCH(S$2, Volcado_Dist!$1:$1, 0))), 0)</f>
        <v>0</v>
      </c>
      <c r="T55" s="16">
        <f>IFERROR(INDEX(Volcado_Dist!$A:$ZZ, MATCH($B55, Volcado_Dist!$A:$A, 0), MATCH(T$2, Volcado_Dist!$1:$1, 0)) / SUM(INDEX(Volcado_Dist!$A:$ZZ, 0, MATCH(T$2, Volcado_Dist!$1:$1, 0))), 0)</f>
        <v>0</v>
      </c>
      <c r="U55" s="16">
        <f>IFERROR(INDEX(Volcado_Dist!$A:$ZZ, MATCH($B55, Volcado_Dist!$A:$A, 0), MATCH(U$2, Volcado_Dist!$1:$1, 0)) / SUM(INDEX(Volcado_Dist!$A:$ZZ, 0, MATCH(U$2, Volcado_Dist!$1:$1, 0))), 0)</f>
        <v>0</v>
      </c>
      <c r="V55" s="16">
        <f>IFERROR(INDEX(Volcado_Dist!$A:$ZZ, MATCH($B55, Volcado_Dist!$A:$A, 0), MATCH(V$2, Volcado_Dist!$1:$1, 0)) / SUM(INDEX(Volcado_Dist!$A:$ZZ, 0, MATCH(V$2, Volcado_Dist!$1:$1, 0))), 0)</f>
        <v>0</v>
      </c>
      <c r="W55" s="16">
        <f t="shared" si="1"/>
        <v>-5.9443647920676563E-6</v>
      </c>
      <c r="X55" s="17">
        <f>IFERROR(SUM(_xlfn.XLOOKUP($B55, Volcado_Vend!$A:$A, Volcado_Vend!$C:$ZZ, 0)) / SUM(Volcado_Vend!$C:$ZZ), 0)</f>
        <v>0</v>
      </c>
      <c r="Y55" s="24">
        <f t="shared" si="0"/>
        <v>-2.9721823960338282E-6</v>
      </c>
    </row>
    <row r="56" spans="2:25" x14ac:dyDescent="0.25">
      <c r="B56" s="15" t="s">
        <v>80</v>
      </c>
      <c r="C56" s="16">
        <f>IFERROR(INDEX(Volcado_Dist!$A:$ZZ, MATCH($B56, Volcado_Dist!$A:$A, 0), MATCH(C$2, Volcado_Dist!$1:$1, 0)) / SUM(INDEX(Volcado_Dist!$A:$ZZ, 0, MATCH(C$2, Volcado_Dist!$1:$1, 0))), 0)</f>
        <v>0</v>
      </c>
      <c r="D56" s="16">
        <f>IFERROR(INDEX(Volcado_Dist!$A:$ZZ, MATCH($B56, Volcado_Dist!$A:$A, 0), MATCH(D$2, Volcado_Dist!$1:$1, 0)) / SUM(INDEX(Volcado_Dist!$A:$ZZ, 0, MATCH(D$2, Volcado_Dist!$1:$1, 0))), 0)</f>
        <v>0</v>
      </c>
      <c r="E56" s="16">
        <f>IFERROR(INDEX(Volcado_Dist!$A:$ZZ, MATCH($B56, Volcado_Dist!$A:$A, 0), MATCH(E$2, Volcado_Dist!$1:$1, 0)) / SUM(INDEX(Volcado_Dist!$A:$ZZ, 0, MATCH(E$2, Volcado_Dist!$1:$1, 0))), 0)</f>
        <v>0</v>
      </c>
      <c r="F56" s="16">
        <f>IFERROR(INDEX(Volcado_Dist!$A:$ZZ, MATCH($B56, Volcado_Dist!$A:$A, 0), MATCH(F$2, Volcado_Dist!$1:$1, 0)) / SUM(INDEX(Volcado_Dist!$A:$ZZ, 0, MATCH(F$2, Volcado_Dist!$1:$1, 0))), 0)</f>
        <v>8.4006459773157014E-5</v>
      </c>
      <c r="G56" s="16">
        <f>IFERROR(INDEX(Volcado_Dist!$A:$ZZ, MATCH($B56, Volcado_Dist!$A:$A, 0), MATCH(G$2, Volcado_Dist!$1:$1, 0)) / SUM(INDEX(Volcado_Dist!$A:$ZZ, 0, MATCH(G$2, Volcado_Dist!$1:$1, 0))), 0)</f>
        <v>0</v>
      </c>
      <c r="H56" s="16">
        <f>IFERROR(INDEX(Volcado_Dist!$A:$ZZ, MATCH($B56, Volcado_Dist!$A:$A, 0), MATCH(H$2, Volcado_Dist!$1:$1, 0)) / SUM(INDEX(Volcado_Dist!$A:$ZZ, 0, MATCH(H$2, Volcado_Dist!$1:$1, 0))), 0)</f>
        <v>0</v>
      </c>
      <c r="I56" s="16">
        <f>IFERROR(INDEX(Volcado_Dist!$A:$ZZ, MATCH($B56, Volcado_Dist!$A:$A, 0), MATCH(I$2, Volcado_Dist!$1:$1, 0)) / SUM(INDEX(Volcado_Dist!$A:$ZZ, 0, MATCH(I$2, Volcado_Dist!$1:$1, 0))), 0)</f>
        <v>9.6442008371172702E-5</v>
      </c>
      <c r="J56" s="16">
        <f>IFERROR(INDEX(Volcado_Dist!$A:$ZZ, MATCH($B56, Volcado_Dist!$A:$A, 0), MATCH(J$2, Volcado_Dist!$1:$1, 0)) / SUM(INDEX(Volcado_Dist!$A:$ZZ, 0, MATCH(J$2, Volcado_Dist!$1:$1, 0))), 0)</f>
        <v>0</v>
      </c>
      <c r="K56" s="16">
        <f>IFERROR(INDEX(Volcado_Dist!$A:$ZZ, MATCH($B56, Volcado_Dist!$A:$A, 0), MATCH(K$2, Volcado_Dist!$1:$1, 0)) / SUM(INDEX(Volcado_Dist!$A:$ZZ, 0, MATCH(K$2, Volcado_Dist!$1:$1, 0))), 0)</f>
        <v>1.5660730789948305E-3</v>
      </c>
      <c r="L56" s="16">
        <f>IFERROR(INDEX(Volcado_Dist!$A:$ZZ, MATCH($B56, Volcado_Dist!$A:$A, 0), MATCH(L$2, Volcado_Dist!$1:$1, 0)) / SUM(INDEX(Volcado_Dist!$A:$ZZ, 0, MATCH(L$2, Volcado_Dist!$1:$1, 0))), 0)</f>
        <v>0</v>
      </c>
      <c r="M56" s="16">
        <f>IFERROR(INDEX(Volcado_Dist!$A:$ZZ, MATCH($B56, Volcado_Dist!$A:$A, 0), MATCH(M$2, Volcado_Dist!$1:$1, 0)) / SUM(INDEX(Volcado_Dist!$A:$ZZ, 0, MATCH(M$2, Volcado_Dist!$1:$1, 0))), 0)</f>
        <v>0</v>
      </c>
      <c r="N56" s="16">
        <f>IFERROR(INDEX(Volcado_Dist!$A:$ZZ, MATCH($B56, Volcado_Dist!$A:$A, 0), MATCH(N$2, Volcado_Dist!$1:$1, 0)) / SUM(INDEX(Volcado_Dist!$A:$ZZ, 0, MATCH(N$2, Volcado_Dist!$1:$1, 0))), 0)</f>
        <v>0</v>
      </c>
      <c r="O56" s="16">
        <f>IFERROR(INDEX(Volcado_Dist!$A:$ZZ, MATCH($B56, Volcado_Dist!$A:$A, 0), MATCH(O$2, Volcado_Dist!$1:$1, 0)) / SUM(INDEX(Volcado_Dist!$A:$ZZ, 0, MATCH(O$2, Volcado_Dist!$1:$1, 0))), 0)</f>
        <v>0</v>
      </c>
      <c r="P56" s="16">
        <f>IFERROR(INDEX(Volcado_Dist!$A:$ZZ, MATCH($B56, Volcado_Dist!$A:$A, 0), MATCH(P$2, Volcado_Dist!$1:$1, 0)) / SUM(INDEX(Volcado_Dist!$A:$ZZ, 0, MATCH(P$2, Volcado_Dist!$1:$1, 0))), 0)</f>
        <v>6.0649426660944281E-4</v>
      </c>
      <c r="Q56" s="16">
        <f>IFERROR(INDEX(Volcado_Dist!$A:$ZZ, MATCH($B56, Volcado_Dist!$A:$A, 0), MATCH(Q$2, Volcado_Dist!$1:$1, 0)) / SUM(INDEX(Volcado_Dist!$A:$ZZ, 0, MATCH(Q$2, Volcado_Dist!$1:$1, 0))), 0)</f>
        <v>0</v>
      </c>
      <c r="R56" s="16">
        <f>IFERROR(INDEX(Volcado_Dist!$A:$ZZ, MATCH($B56, Volcado_Dist!$A:$A, 0), MATCH(R$2, Volcado_Dist!$1:$1, 0)) / SUM(INDEX(Volcado_Dist!$A:$ZZ, 0, MATCH(R$2, Volcado_Dist!$1:$1, 0))), 0)</f>
        <v>0</v>
      </c>
      <c r="S56" s="16">
        <f>IFERROR(INDEX(Volcado_Dist!$A:$ZZ, MATCH($B56, Volcado_Dist!$A:$A, 0), MATCH(S$2, Volcado_Dist!$1:$1, 0)) / SUM(INDEX(Volcado_Dist!$A:$ZZ, 0, MATCH(S$2, Volcado_Dist!$1:$1, 0))), 0)</f>
        <v>1.9655892779541595E-3</v>
      </c>
      <c r="T56" s="16">
        <f>IFERROR(INDEX(Volcado_Dist!$A:$ZZ, MATCH($B56, Volcado_Dist!$A:$A, 0), MATCH(T$2, Volcado_Dist!$1:$1, 0)) / SUM(INDEX(Volcado_Dist!$A:$ZZ, 0, MATCH(T$2, Volcado_Dist!$1:$1, 0))), 0)</f>
        <v>1.9836277647303363E-3</v>
      </c>
      <c r="U56" s="16">
        <f>IFERROR(INDEX(Volcado_Dist!$A:$ZZ, MATCH($B56, Volcado_Dist!$A:$A, 0), MATCH(U$2, Volcado_Dist!$1:$1, 0)) / SUM(INDEX(Volcado_Dist!$A:$ZZ, 0, MATCH(U$2, Volcado_Dist!$1:$1, 0))), 0)</f>
        <v>0</v>
      </c>
      <c r="V56" s="16">
        <f>IFERROR(INDEX(Volcado_Dist!$A:$ZZ, MATCH($B56, Volcado_Dist!$A:$A, 0), MATCH(V$2, Volcado_Dist!$1:$1, 0)) / SUM(INDEX(Volcado_Dist!$A:$ZZ, 0, MATCH(V$2, Volcado_Dist!$1:$1, 0))), 0)</f>
        <v>1.067124438241783E-4</v>
      </c>
      <c r="W56" s="16">
        <f t="shared" si="1"/>
        <v>3.2044726501286388E-4</v>
      </c>
      <c r="X56" s="17">
        <f>IFERROR(SUM(_xlfn.XLOOKUP($B56, Volcado_Vend!$A:$A, Volcado_Vend!$C:$ZZ, 0)) / SUM(Volcado_Vend!$C:$ZZ), 0)</f>
        <v>4.4532075209087783E-4</v>
      </c>
      <c r="Y56" s="24">
        <f t="shared" si="0"/>
        <v>3.8288400855187086E-4</v>
      </c>
    </row>
    <row r="57" spans="2:25" x14ac:dyDescent="0.25">
      <c r="B57" s="15" t="s">
        <v>81</v>
      </c>
      <c r="C57" s="16">
        <f>IFERROR(INDEX(Volcado_Dist!$A:$ZZ, MATCH($B57, Volcado_Dist!$A:$A, 0), MATCH(C$2, Volcado_Dist!$1:$1, 0)) / SUM(INDEX(Volcado_Dist!$A:$ZZ, 0, MATCH(C$2, Volcado_Dist!$1:$1, 0))), 0)</f>
        <v>0</v>
      </c>
      <c r="D57" s="16">
        <f>IFERROR(INDEX(Volcado_Dist!$A:$ZZ, MATCH($B57, Volcado_Dist!$A:$A, 0), MATCH(D$2, Volcado_Dist!$1:$1, 0)) / SUM(INDEX(Volcado_Dist!$A:$ZZ, 0, MATCH(D$2, Volcado_Dist!$1:$1, 0))), 0)</f>
        <v>0</v>
      </c>
      <c r="E57" s="16">
        <f>IFERROR(INDEX(Volcado_Dist!$A:$ZZ, MATCH($B57, Volcado_Dist!$A:$A, 0), MATCH(E$2, Volcado_Dist!$1:$1, 0)) / SUM(INDEX(Volcado_Dist!$A:$ZZ, 0, MATCH(E$2, Volcado_Dist!$1:$1, 0))), 0)</f>
        <v>1.7793671370513633E-3</v>
      </c>
      <c r="F57" s="16">
        <f>IFERROR(INDEX(Volcado_Dist!$A:$ZZ, MATCH($B57, Volcado_Dist!$A:$A, 0), MATCH(F$2, Volcado_Dist!$1:$1, 0)) / SUM(INDEX(Volcado_Dist!$A:$ZZ, 0, MATCH(F$2, Volcado_Dist!$1:$1, 0))), 0)</f>
        <v>0</v>
      </c>
      <c r="G57" s="16">
        <f>IFERROR(INDEX(Volcado_Dist!$A:$ZZ, MATCH($B57, Volcado_Dist!$A:$A, 0), MATCH(G$2, Volcado_Dist!$1:$1, 0)) / SUM(INDEX(Volcado_Dist!$A:$ZZ, 0, MATCH(G$2, Volcado_Dist!$1:$1, 0))), 0)</f>
        <v>0</v>
      </c>
      <c r="H57" s="16">
        <f>IFERROR(INDEX(Volcado_Dist!$A:$ZZ, MATCH($B57, Volcado_Dist!$A:$A, 0), MATCH(H$2, Volcado_Dist!$1:$1, 0)) / SUM(INDEX(Volcado_Dist!$A:$ZZ, 0, MATCH(H$2, Volcado_Dist!$1:$1, 0))), 0)</f>
        <v>0</v>
      </c>
      <c r="I57" s="16">
        <f>IFERROR(INDEX(Volcado_Dist!$A:$ZZ, MATCH($B57, Volcado_Dist!$A:$A, 0), MATCH(I$2, Volcado_Dist!$1:$1, 0)) / SUM(INDEX(Volcado_Dist!$A:$ZZ, 0, MATCH(I$2, Volcado_Dist!$1:$1, 0))), 0)</f>
        <v>4.6504903742511077E-3</v>
      </c>
      <c r="J57" s="16">
        <f>IFERROR(INDEX(Volcado_Dist!$A:$ZZ, MATCH($B57, Volcado_Dist!$A:$A, 0), MATCH(J$2, Volcado_Dist!$1:$1, 0)) / SUM(INDEX(Volcado_Dist!$A:$ZZ, 0, MATCH(J$2, Volcado_Dist!$1:$1, 0))), 0)</f>
        <v>0</v>
      </c>
      <c r="K57" s="16">
        <f>IFERROR(INDEX(Volcado_Dist!$A:$ZZ, MATCH($B57, Volcado_Dist!$A:$A, 0), MATCH(K$2, Volcado_Dist!$1:$1, 0)) / SUM(INDEX(Volcado_Dist!$A:$ZZ, 0, MATCH(K$2, Volcado_Dist!$1:$1, 0))), 0)</f>
        <v>3.2130158728449179E-3</v>
      </c>
      <c r="L57" s="16">
        <f>IFERROR(INDEX(Volcado_Dist!$A:$ZZ, MATCH($B57, Volcado_Dist!$A:$A, 0), MATCH(L$2, Volcado_Dist!$1:$1, 0)) / SUM(INDEX(Volcado_Dist!$A:$ZZ, 0, MATCH(L$2, Volcado_Dist!$1:$1, 0))), 0)</f>
        <v>0</v>
      </c>
      <c r="M57" s="16">
        <f>IFERROR(INDEX(Volcado_Dist!$A:$ZZ, MATCH($B57, Volcado_Dist!$A:$A, 0), MATCH(M$2, Volcado_Dist!$1:$1, 0)) / SUM(INDEX(Volcado_Dist!$A:$ZZ, 0, MATCH(M$2, Volcado_Dist!$1:$1, 0))), 0)</f>
        <v>0</v>
      </c>
      <c r="N57" s="16">
        <f>IFERROR(INDEX(Volcado_Dist!$A:$ZZ, MATCH($B57, Volcado_Dist!$A:$A, 0), MATCH(N$2, Volcado_Dist!$1:$1, 0)) / SUM(INDEX(Volcado_Dist!$A:$ZZ, 0, MATCH(N$2, Volcado_Dist!$1:$1, 0))), 0)</f>
        <v>0</v>
      </c>
      <c r="O57" s="16">
        <f>IFERROR(INDEX(Volcado_Dist!$A:$ZZ, MATCH($B57, Volcado_Dist!$A:$A, 0), MATCH(O$2, Volcado_Dist!$1:$1, 0)) / SUM(INDEX(Volcado_Dist!$A:$ZZ, 0, MATCH(O$2, Volcado_Dist!$1:$1, 0))), 0)</f>
        <v>0</v>
      </c>
      <c r="P57" s="16">
        <f>IFERROR(INDEX(Volcado_Dist!$A:$ZZ, MATCH($B57, Volcado_Dist!$A:$A, 0), MATCH(P$2, Volcado_Dist!$1:$1, 0)) / SUM(INDEX(Volcado_Dist!$A:$ZZ, 0, MATCH(P$2, Volcado_Dist!$1:$1, 0))), 0)</f>
        <v>7.3428402847029522E-4</v>
      </c>
      <c r="Q57" s="16">
        <f>IFERROR(INDEX(Volcado_Dist!$A:$ZZ, MATCH($B57, Volcado_Dist!$A:$A, 0), MATCH(Q$2, Volcado_Dist!$1:$1, 0)) / SUM(INDEX(Volcado_Dist!$A:$ZZ, 0, MATCH(Q$2, Volcado_Dist!$1:$1, 0))), 0)</f>
        <v>0</v>
      </c>
      <c r="R57" s="16">
        <f>IFERROR(INDEX(Volcado_Dist!$A:$ZZ, MATCH($B57, Volcado_Dist!$A:$A, 0), MATCH(R$2, Volcado_Dist!$1:$1, 0)) / SUM(INDEX(Volcado_Dist!$A:$ZZ, 0, MATCH(R$2, Volcado_Dist!$1:$1, 0))), 0)</f>
        <v>7.164974254485151E-3</v>
      </c>
      <c r="S57" s="16">
        <f>IFERROR(INDEX(Volcado_Dist!$A:$ZZ, MATCH($B57, Volcado_Dist!$A:$A, 0), MATCH(S$2, Volcado_Dist!$1:$1, 0)) / SUM(INDEX(Volcado_Dist!$A:$ZZ, 0, MATCH(S$2, Volcado_Dist!$1:$1, 0))), 0)</f>
        <v>1.0324307318547098E-3</v>
      </c>
      <c r="T57" s="16">
        <f>IFERROR(INDEX(Volcado_Dist!$A:$ZZ, MATCH($B57, Volcado_Dist!$A:$A, 0), MATCH(T$2, Volcado_Dist!$1:$1, 0)) / SUM(INDEX(Volcado_Dist!$A:$ZZ, 0, MATCH(T$2, Volcado_Dist!$1:$1, 0))), 0)</f>
        <v>4.0773952228041303E-2</v>
      </c>
      <c r="U57" s="16">
        <f>IFERROR(INDEX(Volcado_Dist!$A:$ZZ, MATCH($B57, Volcado_Dist!$A:$A, 0), MATCH(U$2, Volcado_Dist!$1:$1, 0)) / SUM(INDEX(Volcado_Dist!$A:$ZZ, 0, MATCH(U$2, Volcado_Dist!$1:$1, 0))), 0)</f>
        <v>0</v>
      </c>
      <c r="V57" s="16">
        <f>IFERROR(INDEX(Volcado_Dist!$A:$ZZ, MATCH($B57, Volcado_Dist!$A:$A, 0), MATCH(V$2, Volcado_Dist!$1:$1, 0)) / SUM(INDEX(Volcado_Dist!$A:$ZZ, 0, MATCH(V$2, Volcado_Dist!$1:$1, 0))), 0)</f>
        <v>0</v>
      </c>
      <c r="W57" s="16">
        <f t="shared" si="1"/>
        <v>2.9674257313499425E-3</v>
      </c>
      <c r="X57" s="17">
        <f>IFERROR(SUM(_xlfn.XLOOKUP($B57, Volcado_Vend!$A:$A, Volcado_Vend!$C:$ZZ, 0)) / SUM(Volcado_Vend!$C:$ZZ), 0)</f>
        <v>2.2862380176909068E-3</v>
      </c>
      <c r="Y57" s="24">
        <f t="shared" si="0"/>
        <v>2.6268318745204244E-3</v>
      </c>
    </row>
    <row r="58" spans="2:25" x14ac:dyDescent="0.25">
      <c r="B58" s="15" t="s">
        <v>82</v>
      </c>
      <c r="C58" s="16">
        <f>IFERROR(INDEX(Volcado_Dist!$A:$ZZ, MATCH($B58, Volcado_Dist!$A:$A, 0), MATCH(C$2, Volcado_Dist!$1:$1, 0)) / SUM(INDEX(Volcado_Dist!$A:$ZZ, 0, MATCH(C$2, Volcado_Dist!$1:$1, 0))), 0)</f>
        <v>-2.5559191326058245E-5</v>
      </c>
      <c r="D58" s="16">
        <f>IFERROR(INDEX(Volcado_Dist!$A:$ZZ, MATCH($B58, Volcado_Dist!$A:$A, 0), MATCH(D$2, Volcado_Dist!$1:$1, 0)) / SUM(INDEX(Volcado_Dist!$A:$ZZ, 0, MATCH(D$2, Volcado_Dist!$1:$1, 0))), 0)</f>
        <v>0</v>
      </c>
      <c r="E58" s="16">
        <f>IFERROR(INDEX(Volcado_Dist!$A:$ZZ, MATCH($B58, Volcado_Dist!$A:$A, 0), MATCH(E$2, Volcado_Dist!$1:$1, 0)) / SUM(INDEX(Volcado_Dist!$A:$ZZ, 0, MATCH(E$2, Volcado_Dist!$1:$1, 0))), 0)</f>
        <v>7.1673706714400678E-4</v>
      </c>
      <c r="F58" s="16">
        <f>IFERROR(INDEX(Volcado_Dist!$A:$ZZ, MATCH($B58, Volcado_Dist!$A:$A, 0), MATCH(F$2, Volcado_Dist!$1:$1, 0)) / SUM(INDEX(Volcado_Dist!$A:$ZZ, 0, MATCH(F$2, Volcado_Dist!$1:$1, 0))), 0)</f>
        <v>6.0883325761020241E-4</v>
      </c>
      <c r="G58" s="16">
        <f>IFERROR(INDEX(Volcado_Dist!$A:$ZZ, MATCH($B58, Volcado_Dist!$A:$A, 0), MATCH(G$2, Volcado_Dist!$1:$1, 0)) / SUM(INDEX(Volcado_Dist!$A:$ZZ, 0, MATCH(G$2, Volcado_Dist!$1:$1, 0))), 0)</f>
        <v>0</v>
      </c>
      <c r="H58" s="16">
        <f>IFERROR(INDEX(Volcado_Dist!$A:$ZZ, MATCH($B58, Volcado_Dist!$A:$A, 0), MATCH(H$2, Volcado_Dist!$1:$1, 0)) / SUM(INDEX(Volcado_Dist!$A:$ZZ, 0, MATCH(H$2, Volcado_Dist!$1:$1, 0))), 0)</f>
        <v>0</v>
      </c>
      <c r="I58" s="16">
        <f>IFERROR(INDEX(Volcado_Dist!$A:$ZZ, MATCH($B58, Volcado_Dist!$A:$A, 0), MATCH(I$2, Volcado_Dist!$1:$1, 0)) / SUM(INDEX(Volcado_Dist!$A:$ZZ, 0, MATCH(I$2, Volcado_Dist!$1:$1, 0))), 0)</f>
        <v>6.8463188957315223E-4</v>
      </c>
      <c r="J58" s="16">
        <f>IFERROR(INDEX(Volcado_Dist!$A:$ZZ, MATCH($B58, Volcado_Dist!$A:$A, 0), MATCH(J$2, Volcado_Dist!$1:$1, 0)) / SUM(INDEX(Volcado_Dist!$A:$ZZ, 0, MATCH(J$2, Volcado_Dist!$1:$1, 0))), 0)</f>
        <v>0</v>
      </c>
      <c r="K58" s="16">
        <f>IFERROR(INDEX(Volcado_Dist!$A:$ZZ, MATCH($B58, Volcado_Dist!$A:$A, 0), MATCH(K$2, Volcado_Dist!$1:$1, 0)) / SUM(INDEX(Volcado_Dist!$A:$ZZ, 0, MATCH(K$2, Volcado_Dist!$1:$1, 0))), 0)</f>
        <v>2.666430592103127E-3</v>
      </c>
      <c r="L58" s="16">
        <f>IFERROR(INDEX(Volcado_Dist!$A:$ZZ, MATCH($B58, Volcado_Dist!$A:$A, 0), MATCH(L$2, Volcado_Dist!$1:$1, 0)) / SUM(INDEX(Volcado_Dist!$A:$ZZ, 0, MATCH(L$2, Volcado_Dist!$1:$1, 0))), 0)</f>
        <v>9.4067795131162703E-4</v>
      </c>
      <c r="M58" s="16">
        <f>IFERROR(INDEX(Volcado_Dist!$A:$ZZ, MATCH($B58, Volcado_Dist!$A:$A, 0), MATCH(M$2, Volcado_Dist!$1:$1, 0)) / SUM(INDEX(Volcado_Dist!$A:$ZZ, 0, MATCH(M$2, Volcado_Dist!$1:$1, 0))), 0)</f>
        <v>2.5707930935637093E-3</v>
      </c>
      <c r="N58" s="16">
        <f>IFERROR(INDEX(Volcado_Dist!$A:$ZZ, MATCH($B58, Volcado_Dist!$A:$A, 0), MATCH(N$2, Volcado_Dist!$1:$1, 0)) / SUM(INDEX(Volcado_Dist!$A:$ZZ, 0, MATCH(N$2, Volcado_Dist!$1:$1, 0))), 0)</f>
        <v>0</v>
      </c>
      <c r="O58" s="16">
        <f>IFERROR(INDEX(Volcado_Dist!$A:$ZZ, MATCH($B58, Volcado_Dist!$A:$A, 0), MATCH(O$2, Volcado_Dist!$1:$1, 0)) / SUM(INDEX(Volcado_Dist!$A:$ZZ, 0, MATCH(O$2, Volcado_Dist!$1:$1, 0))), 0)</f>
        <v>2.7494541286862823E-3</v>
      </c>
      <c r="P58" s="16">
        <f>IFERROR(INDEX(Volcado_Dist!$A:$ZZ, MATCH($B58, Volcado_Dist!$A:$A, 0), MATCH(P$2, Volcado_Dist!$1:$1, 0)) / SUM(INDEX(Volcado_Dist!$A:$ZZ, 0, MATCH(P$2, Volcado_Dist!$1:$1, 0))), 0)</f>
        <v>-6.5923289848852473E-6</v>
      </c>
      <c r="Q58" s="16">
        <f>IFERROR(INDEX(Volcado_Dist!$A:$ZZ, MATCH($B58, Volcado_Dist!$A:$A, 0), MATCH(Q$2, Volcado_Dist!$1:$1, 0)) / SUM(INDEX(Volcado_Dist!$A:$ZZ, 0, MATCH(Q$2, Volcado_Dist!$1:$1, 0))), 0)</f>
        <v>-3.3298818843325894E-5</v>
      </c>
      <c r="R58" s="16">
        <f>IFERROR(INDEX(Volcado_Dist!$A:$ZZ, MATCH($B58, Volcado_Dist!$A:$A, 0), MATCH(R$2, Volcado_Dist!$1:$1, 0)) / SUM(INDEX(Volcado_Dist!$A:$ZZ, 0, MATCH(R$2, Volcado_Dist!$1:$1, 0))), 0)</f>
        <v>0</v>
      </c>
      <c r="S58" s="16">
        <f>IFERROR(INDEX(Volcado_Dist!$A:$ZZ, MATCH($B58, Volcado_Dist!$A:$A, 0), MATCH(S$2, Volcado_Dist!$1:$1, 0)) / SUM(INDEX(Volcado_Dist!$A:$ZZ, 0, MATCH(S$2, Volcado_Dist!$1:$1, 0))), 0)</f>
        <v>2.2187333516300741E-4</v>
      </c>
      <c r="T58" s="16">
        <f>IFERROR(INDEX(Volcado_Dist!$A:$ZZ, MATCH($B58, Volcado_Dist!$A:$A, 0), MATCH(T$2, Volcado_Dist!$1:$1, 0)) / SUM(INDEX(Volcado_Dist!$A:$ZZ, 0, MATCH(T$2, Volcado_Dist!$1:$1, 0))), 0)</f>
        <v>0</v>
      </c>
      <c r="U58" s="16">
        <f>IFERROR(INDEX(Volcado_Dist!$A:$ZZ, MATCH($B58, Volcado_Dist!$A:$A, 0), MATCH(U$2, Volcado_Dist!$1:$1, 0)) / SUM(INDEX(Volcado_Dist!$A:$ZZ, 0, MATCH(U$2, Volcado_Dist!$1:$1, 0))), 0)</f>
        <v>0</v>
      </c>
      <c r="V58" s="16">
        <f>IFERROR(INDEX(Volcado_Dist!$A:$ZZ, MATCH($B58, Volcado_Dist!$A:$A, 0), MATCH(V$2, Volcado_Dist!$1:$1, 0)) / SUM(INDEX(Volcado_Dist!$A:$ZZ, 0, MATCH(V$2, Volcado_Dist!$1:$1, 0))), 0)</f>
        <v>6.3701400493933113E-3</v>
      </c>
      <c r="W58" s="16">
        <f t="shared" si="1"/>
        <v>8.7320605126970773E-4</v>
      </c>
      <c r="X58" s="17">
        <f>IFERROR(SUM(_xlfn.XLOOKUP($B58, Volcado_Vend!$A:$A, Volcado_Vend!$C:$ZZ, 0)) / SUM(Volcado_Vend!$C:$ZZ), 0)</f>
        <v>7.9933692016610433E-4</v>
      </c>
      <c r="Y58" s="24">
        <f t="shared" si="0"/>
        <v>8.3627148571790598E-4</v>
      </c>
    </row>
    <row r="59" spans="2:25" x14ac:dyDescent="0.25">
      <c r="B59" s="15" t="s">
        <v>83</v>
      </c>
      <c r="C59" s="16">
        <f>IFERROR(INDEX(Volcado_Dist!$A:$ZZ, MATCH($B59, Volcado_Dist!$A:$A, 0), MATCH(C$2, Volcado_Dist!$1:$1, 0)) / SUM(INDEX(Volcado_Dist!$A:$ZZ, 0, MATCH(C$2, Volcado_Dist!$1:$1, 0))), 0)</f>
        <v>2.4757575340621893E-3</v>
      </c>
      <c r="D59" s="16">
        <f>IFERROR(INDEX(Volcado_Dist!$A:$ZZ, MATCH($B59, Volcado_Dist!$A:$A, 0), MATCH(D$2, Volcado_Dist!$1:$1, 0)) / SUM(INDEX(Volcado_Dist!$A:$ZZ, 0, MATCH(D$2, Volcado_Dist!$1:$1, 0))), 0)</f>
        <v>0</v>
      </c>
      <c r="E59" s="16">
        <f>IFERROR(INDEX(Volcado_Dist!$A:$ZZ, MATCH($B59, Volcado_Dist!$A:$A, 0), MATCH(E$2, Volcado_Dist!$1:$1, 0)) / SUM(INDEX(Volcado_Dist!$A:$ZZ, 0, MATCH(E$2, Volcado_Dist!$1:$1, 0))), 0)</f>
        <v>2.8307909861863311E-3</v>
      </c>
      <c r="F59" s="16">
        <f>IFERROR(INDEX(Volcado_Dist!$A:$ZZ, MATCH($B59, Volcado_Dist!$A:$A, 0), MATCH(F$2, Volcado_Dist!$1:$1, 0)) / SUM(INDEX(Volcado_Dist!$A:$ZZ, 0, MATCH(F$2, Volcado_Dist!$1:$1, 0))), 0)</f>
        <v>1.936420089686331E-3</v>
      </c>
      <c r="G59" s="16">
        <f>IFERROR(INDEX(Volcado_Dist!$A:$ZZ, MATCH($B59, Volcado_Dist!$A:$A, 0), MATCH(G$2, Volcado_Dist!$1:$1, 0)) / SUM(INDEX(Volcado_Dist!$A:$ZZ, 0, MATCH(G$2, Volcado_Dist!$1:$1, 0))), 0)</f>
        <v>-1.7159100744270094E-3</v>
      </c>
      <c r="H59" s="16">
        <f>IFERROR(INDEX(Volcado_Dist!$A:$ZZ, MATCH($B59, Volcado_Dist!$A:$A, 0), MATCH(H$2, Volcado_Dist!$1:$1, 0)) / SUM(INDEX(Volcado_Dist!$A:$ZZ, 0, MATCH(H$2, Volcado_Dist!$1:$1, 0))), 0)</f>
        <v>0</v>
      </c>
      <c r="I59" s="16">
        <f>IFERROR(INDEX(Volcado_Dist!$A:$ZZ, MATCH($B59, Volcado_Dist!$A:$A, 0), MATCH(I$2, Volcado_Dist!$1:$1, 0)) / SUM(INDEX(Volcado_Dist!$A:$ZZ, 0, MATCH(I$2, Volcado_Dist!$1:$1, 0))), 0)</f>
        <v>2.3292144867443447E-4</v>
      </c>
      <c r="J59" s="16">
        <f>IFERROR(INDEX(Volcado_Dist!$A:$ZZ, MATCH($B59, Volcado_Dist!$A:$A, 0), MATCH(J$2, Volcado_Dist!$1:$1, 0)) / SUM(INDEX(Volcado_Dist!$A:$ZZ, 0, MATCH(J$2, Volcado_Dist!$1:$1, 0))), 0)</f>
        <v>0</v>
      </c>
      <c r="K59" s="16">
        <f>IFERROR(INDEX(Volcado_Dist!$A:$ZZ, MATCH($B59, Volcado_Dist!$A:$A, 0), MATCH(K$2, Volcado_Dist!$1:$1, 0)) / SUM(INDEX(Volcado_Dist!$A:$ZZ, 0, MATCH(K$2, Volcado_Dist!$1:$1, 0))), 0)</f>
        <v>3.0763010596425912E-3</v>
      </c>
      <c r="L59" s="16">
        <f>IFERROR(INDEX(Volcado_Dist!$A:$ZZ, MATCH($B59, Volcado_Dist!$A:$A, 0), MATCH(L$2, Volcado_Dist!$1:$1, 0)) / SUM(INDEX(Volcado_Dist!$A:$ZZ, 0, MATCH(L$2, Volcado_Dist!$1:$1, 0))), 0)</f>
        <v>3.6476721856596962E-3</v>
      </c>
      <c r="M59" s="16">
        <f>IFERROR(INDEX(Volcado_Dist!$A:$ZZ, MATCH($B59, Volcado_Dist!$A:$A, 0), MATCH(M$2, Volcado_Dist!$1:$1, 0)) / SUM(INDEX(Volcado_Dist!$A:$ZZ, 0, MATCH(M$2, Volcado_Dist!$1:$1, 0))), 0)</f>
        <v>4.8384075301785602E-3</v>
      </c>
      <c r="N59" s="16">
        <f>IFERROR(INDEX(Volcado_Dist!$A:$ZZ, MATCH($B59, Volcado_Dist!$A:$A, 0), MATCH(N$2, Volcado_Dist!$1:$1, 0)) / SUM(INDEX(Volcado_Dist!$A:$ZZ, 0, MATCH(N$2, Volcado_Dist!$1:$1, 0))), 0)</f>
        <v>0</v>
      </c>
      <c r="O59" s="16">
        <f>IFERROR(INDEX(Volcado_Dist!$A:$ZZ, MATCH($B59, Volcado_Dist!$A:$A, 0), MATCH(O$2, Volcado_Dist!$1:$1, 0)) / SUM(INDEX(Volcado_Dist!$A:$ZZ, 0, MATCH(O$2, Volcado_Dist!$1:$1, 0))), 0)</f>
        <v>4.252589764973563E-3</v>
      </c>
      <c r="P59" s="16">
        <f>IFERROR(INDEX(Volcado_Dist!$A:$ZZ, MATCH($B59, Volcado_Dist!$A:$A, 0), MATCH(P$2, Volcado_Dist!$1:$1, 0)) / SUM(INDEX(Volcado_Dist!$A:$ZZ, 0, MATCH(P$2, Volcado_Dist!$1:$1, 0))), 0)</f>
        <v>1.7983535402613885E-3</v>
      </c>
      <c r="Q59" s="16">
        <f>IFERROR(INDEX(Volcado_Dist!$A:$ZZ, MATCH($B59, Volcado_Dist!$A:$A, 0), MATCH(Q$2, Volcado_Dist!$1:$1, 0)) / SUM(INDEX(Volcado_Dist!$A:$ZZ, 0, MATCH(Q$2, Volcado_Dist!$1:$1, 0))), 0)</f>
        <v>7.7152092112631578E-4</v>
      </c>
      <c r="R59" s="16">
        <f>IFERROR(INDEX(Volcado_Dist!$A:$ZZ, MATCH($B59, Volcado_Dist!$A:$A, 0), MATCH(R$2, Volcado_Dist!$1:$1, 0)) / SUM(INDEX(Volcado_Dist!$A:$ZZ, 0, MATCH(R$2, Volcado_Dist!$1:$1, 0))), 0)</f>
        <v>4.4492178838335212E-3</v>
      </c>
      <c r="S59" s="16">
        <f>IFERROR(INDEX(Volcado_Dist!$A:$ZZ, MATCH($B59, Volcado_Dist!$A:$A, 0), MATCH(S$2, Volcado_Dist!$1:$1, 0)) / SUM(INDEX(Volcado_Dist!$A:$ZZ, 0, MATCH(S$2, Volcado_Dist!$1:$1, 0))), 0)</f>
        <v>1.1396446924703911E-3</v>
      </c>
      <c r="T59" s="16">
        <f>IFERROR(INDEX(Volcado_Dist!$A:$ZZ, MATCH($B59, Volcado_Dist!$A:$A, 0), MATCH(T$2, Volcado_Dist!$1:$1, 0)) / SUM(INDEX(Volcado_Dist!$A:$ZZ, 0, MATCH(T$2, Volcado_Dist!$1:$1, 0))), 0)</f>
        <v>0</v>
      </c>
      <c r="U59" s="16">
        <f>IFERROR(INDEX(Volcado_Dist!$A:$ZZ, MATCH($B59, Volcado_Dist!$A:$A, 0), MATCH(U$2, Volcado_Dist!$1:$1, 0)) / SUM(INDEX(Volcado_Dist!$A:$ZZ, 0, MATCH(U$2, Volcado_Dist!$1:$1, 0))), 0)</f>
        <v>3.1844135161639346E-3</v>
      </c>
      <c r="V59" s="16">
        <f>IFERROR(INDEX(Volcado_Dist!$A:$ZZ, MATCH($B59, Volcado_Dist!$A:$A, 0), MATCH(V$2, Volcado_Dist!$1:$1, 0)) / SUM(INDEX(Volcado_Dist!$A:$ZZ, 0, MATCH(V$2, Volcado_Dist!$1:$1, 0))), 0)</f>
        <v>7.0798766086424495E-3</v>
      </c>
      <c r="W59" s="16">
        <f t="shared" si="1"/>
        <v>1.9998988843567345E-3</v>
      </c>
      <c r="X59" s="17">
        <f>IFERROR(SUM(_xlfn.XLOOKUP($B59, Volcado_Vend!$A:$A, Volcado_Vend!$C:$ZZ, 0)) / SUM(Volcado_Vend!$C:$ZZ), 0)</f>
        <v>1.1605446034924879E-3</v>
      </c>
      <c r="Y59" s="24">
        <f t="shared" si="0"/>
        <v>1.5802217439246113E-3</v>
      </c>
    </row>
    <row r="60" spans="2:25" x14ac:dyDescent="0.25">
      <c r="B60" s="15" t="s">
        <v>84</v>
      </c>
      <c r="C60" s="16">
        <f>IFERROR(INDEX(Volcado_Dist!$A:$ZZ, MATCH($B60, Volcado_Dist!$A:$A, 0), MATCH(C$2, Volcado_Dist!$1:$1, 0)) / SUM(INDEX(Volcado_Dist!$A:$ZZ, 0, MATCH(C$2, Volcado_Dist!$1:$1, 0))), 0)</f>
        <v>2.5232975331501979E-3</v>
      </c>
      <c r="D60" s="16">
        <f>IFERROR(INDEX(Volcado_Dist!$A:$ZZ, MATCH($B60, Volcado_Dist!$A:$A, 0), MATCH(D$2, Volcado_Dist!$1:$1, 0)) / SUM(INDEX(Volcado_Dist!$A:$ZZ, 0, MATCH(D$2, Volcado_Dist!$1:$1, 0))), 0)</f>
        <v>0</v>
      </c>
      <c r="E60" s="16">
        <f>IFERROR(INDEX(Volcado_Dist!$A:$ZZ, MATCH($B60, Volcado_Dist!$A:$A, 0), MATCH(E$2, Volcado_Dist!$1:$1, 0)) / SUM(INDEX(Volcado_Dist!$A:$ZZ, 0, MATCH(E$2, Volcado_Dist!$1:$1, 0))), 0)</f>
        <v>1.522514705715949E-3</v>
      </c>
      <c r="F60" s="16">
        <f>IFERROR(INDEX(Volcado_Dist!$A:$ZZ, MATCH($B60, Volcado_Dist!$A:$A, 0), MATCH(F$2, Volcado_Dist!$1:$1, 0)) / SUM(INDEX(Volcado_Dist!$A:$ZZ, 0, MATCH(F$2, Volcado_Dist!$1:$1, 0))), 0)</f>
        <v>0</v>
      </c>
      <c r="G60" s="16">
        <f>IFERROR(INDEX(Volcado_Dist!$A:$ZZ, MATCH($B60, Volcado_Dist!$A:$A, 0), MATCH(G$2, Volcado_Dist!$1:$1, 0)) / SUM(INDEX(Volcado_Dist!$A:$ZZ, 0, MATCH(G$2, Volcado_Dist!$1:$1, 0))), 0)</f>
        <v>0</v>
      </c>
      <c r="H60" s="16">
        <f>IFERROR(INDEX(Volcado_Dist!$A:$ZZ, MATCH($B60, Volcado_Dist!$A:$A, 0), MATCH(H$2, Volcado_Dist!$1:$1, 0)) / SUM(INDEX(Volcado_Dist!$A:$ZZ, 0, MATCH(H$2, Volcado_Dist!$1:$1, 0))), 0)</f>
        <v>0</v>
      </c>
      <c r="I60" s="16">
        <f>IFERROR(INDEX(Volcado_Dist!$A:$ZZ, MATCH($B60, Volcado_Dist!$A:$A, 0), MATCH(I$2, Volcado_Dist!$1:$1, 0)) / SUM(INDEX(Volcado_Dist!$A:$ZZ, 0, MATCH(I$2, Volcado_Dist!$1:$1, 0))), 0)</f>
        <v>2.8517760048872879E-4</v>
      </c>
      <c r="J60" s="16">
        <f>IFERROR(INDEX(Volcado_Dist!$A:$ZZ, MATCH($B60, Volcado_Dist!$A:$A, 0), MATCH(J$2, Volcado_Dist!$1:$1, 0)) / SUM(INDEX(Volcado_Dist!$A:$ZZ, 0, MATCH(J$2, Volcado_Dist!$1:$1, 0))), 0)</f>
        <v>0</v>
      </c>
      <c r="K60" s="16">
        <f>IFERROR(INDEX(Volcado_Dist!$A:$ZZ, MATCH($B60, Volcado_Dist!$A:$A, 0), MATCH(K$2, Volcado_Dist!$1:$1, 0)) / SUM(INDEX(Volcado_Dist!$A:$ZZ, 0, MATCH(K$2, Volcado_Dist!$1:$1, 0))), 0)</f>
        <v>1.8739638318428318E-3</v>
      </c>
      <c r="L60" s="16">
        <f>IFERROR(INDEX(Volcado_Dist!$A:$ZZ, MATCH($B60, Volcado_Dist!$A:$A, 0), MATCH(L$2, Volcado_Dist!$1:$1, 0)) / SUM(INDEX(Volcado_Dist!$A:$ZZ, 0, MATCH(L$2, Volcado_Dist!$1:$1, 0))), 0)</f>
        <v>4.3613250469902711E-3</v>
      </c>
      <c r="M60" s="16">
        <f>IFERROR(INDEX(Volcado_Dist!$A:$ZZ, MATCH($B60, Volcado_Dist!$A:$A, 0), MATCH(M$2, Volcado_Dist!$1:$1, 0)) / SUM(INDEX(Volcado_Dist!$A:$ZZ, 0, MATCH(M$2, Volcado_Dist!$1:$1, 0))), 0)</f>
        <v>2.7865350094656463E-3</v>
      </c>
      <c r="N60" s="16">
        <f>IFERROR(INDEX(Volcado_Dist!$A:$ZZ, MATCH($B60, Volcado_Dist!$A:$A, 0), MATCH(N$2, Volcado_Dist!$1:$1, 0)) / SUM(INDEX(Volcado_Dist!$A:$ZZ, 0, MATCH(N$2, Volcado_Dist!$1:$1, 0))), 0)</f>
        <v>0</v>
      </c>
      <c r="O60" s="16">
        <f>IFERROR(INDEX(Volcado_Dist!$A:$ZZ, MATCH($B60, Volcado_Dist!$A:$A, 0), MATCH(O$2, Volcado_Dist!$1:$1, 0)) / SUM(INDEX(Volcado_Dist!$A:$ZZ, 0, MATCH(O$2, Volcado_Dist!$1:$1, 0))), 0)</f>
        <v>2.022435008120198E-3</v>
      </c>
      <c r="P60" s="16">
        <f>IFERROR(INDEX(Volcado_Dist!$A:$ZZ, MATCH($B60, Volcado_Dist!$A:$A, 0), MATCH(P$2, Volcado_Dist!$1:$1, 0)) / SUM(INDEX(Volcado_Dist!$A:$ZZ, 0, MATCH(P$2, Volcado_Dist!$1:$1, 0))), 0)</f>
        <v>8.1465973186293464E-4</v>
      </c>
      <c r="Q60" s="16">
        <f>IFERROR(INDEX(Volcado_Dist!$A:$ZZ, MATCH($B60, Volcado_Dist!$A:$A, 0), MATCH(Q$2, Volcado_Dist!$1:$1, 0)) / SUM(INDEX(Volcado_Dist!$A:$ZZ, 0, MATCH(Q$2, Volcado_Dist!$1:$1, 0))), 0)</f>
        <v>0</v>
      </c>
      <c r="R60" s="16">
        <f>IFERROR(INDEX(Volcado_Dist!$A:$ZZ, MATCH($B60, Volcado_Dist!$A:$A, 0), MATCH(R$2, Volcado_Dist!$1:$1, 0)) / SUM(INDEX(Volcado_Dist!$A:$ZZ, 0, MATCH(R$2, Volcado_Dist!$1:$1, 0))), 0)</f>
        <v>0</v>
      </c>
      <c r="S60" s="16">
        <f>IFERROR(INDEX(Volcado_Dist!$A:$ZZ, MATCH($B60, Volcado_Dist!$A:$A, 0), MATCH(S$2, Volcado_Dist!$1:$1, 0)) / SUM(INDEX(Volcado_Dist!$A:$ZZ, 0, MATCH(S$2, Volcado_Dist!$1:$1, 0))), 0)</f>
        <v>1.5948076641582611E-3</v>
      </c>
      <c r="T60" s="16">
        <f>IFERROR(INDEX(Volcado_Dist!$A:$ZZ, MATCH($B60, Volcado_Dist!$A:$A, 0), MATCH(T$2, Volcado_Dist!$1:$1, 0)) / SUM(INDEX(Volcado_Dist!$A:$ZZ, 0, MATCH(T$2, Volcado_Dist!$1:$1, 0))), 0)</f>
        <v>6.4837031658349835E-4</v>
      </c>
      <c r="U60" s="16">
        <f>IFERROR(INDEX(Volcado_Dist!$A:$ZZ, MATCH($B60, Volcado_Dist!$A:$A, 0), MATCH(U$2, Volcado_Dist!$1:$1, 0)) / SUM(INDEX(Volcado_Dist!$A:$ZZ, 0, MATCH(U$2, Volcado_Dist!$1:$1, 0))), 0)</f>
        <v>0</v>
      </c>
      <c r="V60" s="16">
        <f>IFERROR(INDEX(Volcado_Dist!$A:$ZZ, MATCH($B60, Volcado_Dist!$A:$A, 0), MATCH(V$2, Volcado_Dist!$1:$1, 0)) / SUM(INDEX(Volcado_Dist!$A:$ZZ, 0, MATCH(V$2, Volcado_Dist!$1:$1, 0))), 0)</f>
        <v>1.1640549080487437E-3</v>
      </c>
      <c r="W60" s="16">
        <f t="shared" si="1"/>
        <v>9.798570678213631E-4</v>
      </c>
      <c r="X60" s="17">
        <f>IFERROR(SUM(_xlfn.XLOOKUP($B60, Volcado_Vend!$A:$A, Volcado_Vend!$C:$ZZ, 0)) / SUM(Volcado_Vend!$C:$ZZ), 0)</f>
        <v>2.6661159809962553E-4</v>
      </c>
      <c r="Y60" s="24">
        <f t="shared" si="0"/>
        <v>6.2323433296049432E-4</v>
      </c>
    </row>
    <row r="61" spans="2:25" x14ac:dyDescent="0.25">
      <c r="B61" s="15" t="s">
        <v>85</v>
      </c>
      <c r="C61" s="16">
        <f>IFERROR(INDEX(Volcado_Dist!$A:$ZZ, MATCH($B61, Volcado_Dist!$A:$A, 0), MATCH(C$2, Volcado_Dist!$1:$1, 0)) / SUM(INDEX(Volcado_Dist!$A:$ZZ, 0, MATCH(C$2, Volcado_Dist!$1:$1, 0))), 0)</f>
        <v>0</v>
      </c>
      <c r="D61" s="16">
        <f>IFERROR(INDEX(Volcado_Dist!$A:$ZZ, MATCH($B61, Volcado_Dist!$A:$A, 0), MATCH(D$2, Volcado_Dist!$1:$1, 0)) / SUM(INDEX(Volcado_Dist!$A:$ZZ, 0, MATCH(D$2, Volcado_Dist!$1:$1, 0))), 0)</f>
        <v>0</v>
      </c>
      <c r="E61" s="16">
        <f>IFERROR(INDEX(Volcado_Dist!$A:$ZZ, MATCH($B61, Volcado_Dist!$A:$A, 0), MATCH(E$2, Volcado_Dist!$1:$1, 0)) / SUM(INDEX(Volcado_Dist!$A:$ZZ, 0, MATCH(E$2, Volcado_Dist!$1:$1, 0))), 0)</f>
        <v>0</v>
      </c>
      <c r="F61" s="16">
        <f>IFERROR(INDEX(Volcado_Dist!$A:$ZZ, MATCH($B61, Volcado_Dist!$A:$A, 0), MATCH(F$2, Volcado_Dist!$1:$1, 0)) / SUM(INDEX(Volcado_Dist!$A:$ZZ, 0, MATCH(F$2, Volcado_Dist!$1:$1, 0))), 0)</f>
        <v>0</v>
      </c>
      <c r="G61" s="16">
        <f>IFERROR(INDEX(Volcado_Dist!$A:$ZZ, MATCH($B61, Volcado_Dist!$A:$A, 0), MATCH(G$2, Volcado_Dist!$1:$1, 0)) / SUM(INDEX(Volcado_Dist!$A:$ZZ, 0, MATCH(G$2, Volcado_Dist!$1:$1, 0))), 0)</f>
        <v>0</v>
      </c>
      <c r="H61" s="16">
        <f>IFERROR(INDEX(Volcado_Dist!$A:$ZZ, MATCH($B61, Volcado_Dist!$A:$A, 0), MATCH(H$2, Volcado_Dist!$1:$1, 0)) / SUM(INDEX(Volcado_Dist!$A:$ZZ, 0, MATCH(H$2, Volcado_Dist!$1:$1, 0))), 0)</f>
        <v>0</v>
      </c>
      <c r="I61" s="16">
        <f>IFERROR(INDEX(Volcado_Dist!$A:$ZZ, MATCH($B61, Volcado_Dist!$A:$A, 0), MATCH(I$2, Volcado_Dist!$1:$1, 0)) / SUM(INDEX(Volcado_Dist!$A:$ZZ, 0, MATCH(I$2, Volcado_Dist!$1:$1, 0))), 0)</f>
        <v>2.1444164214296053E-4</v>
      </c>
      <c r="J61" s="16">
        <f>IFERROR(INDEX(Volcado_Dist!$A:$ZZ, MATCH($B61, Volcado_Dist!$A:$A, 0), MATCH(J$2, Volcado_Dist!$1:$1, 0)) / SUM(INDEX(Volcado_Dist!$A:$ZZ, 0, MATCH(J$2, Volcado_Dist!$1:$1, 0))), 0)</f>
        <v>0</v>
      </c>
      <c r="K61" s="16">
        <f>IFERROR(INDEX(Volcado_Dist!$A:$ZZ, MATCH($B61, Volcado_Dist!$A:$A, 0), MATCH(K$2, Volcado_Dist!$1:$1, 0)) / SUM(INDEX(Volcado_Dist!$A:$ZZ, 0, MATCH(K$2, Volcado_Dist!$1:$1, 0))), 0)</f>
        <v>0</v>
      </c>
      <c r="L61" s="16">
        <f>IFERROR(INDEX(Volcado_Dist!$A:$ZZ, MATCH($B61, Volcado_Dist!$A:$A, 0), MATCH(L$2, Volcado_Dist!$1:$1, 0)) / SUM(INDEX(Volcado_Dist!$A:$ZZ, 0, MATCH(L$2, Volcado_Dist!$1:$1, 0))), 0)</f>
        <v>0</v>
      </c>
      <c r="M61" s="16">
        <f>IFERROR(INDEX(Volcado_Dist!$A:$ZZ, MATCH($B61, Volcado_Dist!$A:$A, 0), MATCH(M$2, Volcado_Dist!$1:$1, 0)) / SUM(INDEX(Volcado_Dist!$A:$ZZ, 0, MATCH(M$2, Volcado_Dist!$1:$1, 0))), 0)</f>
        <v>0</v>
      </c>
      <c r="N61" s="16">
        <f>IFERROR(INDEX(Volcado_Dist!$A:$ZZ, MATCH($B61, Volcado_Dist!$A:$A, 0), MATCH(N$2, Volcado_Dist!$1:$1, 0)) / SUM(INDEX(Volcado_Dist!$A:$ZZ, 0, MATCH(N$2, Volcado_Dist!$1:$1, 0))), 0)</f>
        <v>0</v>
      </c>
      <c r="O61" s="16">
        <f>IFERROR(INDEX(Volcado_Dist!$A:$ZZ, MATCH($B61, Volcado_Dist!$A:$A, 0), MATCH(O$2, Volcado_Dist!$1:$1, 0)) / SUM(INDEX(Volcado_Dist!$A:$ZZ, 0, MATCH(O$2, Volcado_Dist!$1:$1, 0))), 0)</f>
        <v>0</v>
      </c>
      <c r="P61" s="16">
        <f>IFERROR(INDEX(Volcado_Dist!$A:$ZZ, MATCH($B61, Volcado_Dist!$A:$A, 0), MATCH(P$2, Volcado_Dist!$1:$1, 0)) / SUM(INDEX(Volcado_Dist!$A:$ZZ, 0, MATCH(P$2, Volcado_Dist!$1:$1, 0))), 0)</f>
        <v>0</v>
      </c>
      <c r="Q61" s="16">
        <f>IFERROR(INDEX(Volcado_Dist!$A:$ZZ, MATCH($B61, Volcado_Dist!$A:$A, 0), MATCH(Q$2, Volcado_Dist!$1:$1, 0)) / SUM(INDEX(Volcado_Dist!$A:$ZZ, 0, MATCH(Q$2, Volcado_Dist!$1:$1, 0))), 0)</f>
        <v>0</v>
      </c>
      <c r="R61" s="16">
        <f>IFERROR(INDEX(Volcado_Dist!$A:$ZZ, MATCH($B61, Volcado_Dist!$A:$A, 0), MATCH(R$2, Volcado_Dist!$1:$1, 0)) / SUM(INDEX(Volcado_Dist!$A:$ZZ, 0, MATCH(R$2, Volcado_Dist!$1:$1, 0))), 0)</f>
        <v>0</v>
      </c>
      <c r="S61" s="16">
        <f>IFERROR(INDEX(Volcado_Dist!$A:$ZZ, MATCH($B61, Volcado_Dist!$A:$A, 0), MATCH(S$2, Volcado_Dist!$1:$1, 0)) / SUM(INDEX(Volcado_Dist!$A:$ZZ, 0, MATCH(S$2, Volcado_Dist!$1:$1, 0))), 0)</f>
        <v>0</v>
      </c>
      <c r="T61" s="16">
        <f>IFERROR(INDEX(Volcado_Dist!$A:$ZZ, MATCH($B61, Volcado_Dist!$A:$A, 0), MATCH(T$2, Volcado_Dist!$1:$1, 0)) / SUM(INDEX(Volcado_Dist!$A:$ZZ, 0, MATCH(T$2, Volcado_Dist!$1:$1, 0))), 0)</f>
        <v>0</v>
      </c>
      <c r="U61" s="16">
        <f>IFERROR(INDEX(Volcado_Dist!$A:$ZZ, MATCH($B61, Volcado_Dist!$A:$A, 0), MATCH(U$2, Volcado_Dist!$1:$1, 0)) / SUM(INDEX(Volcado_Dist!$A:$ZZ, 0, MATCH(U$2, Volcado_Dist!$1:$1, 0))), 0)</f>
        <v>0</v>
      </c>
      <c r="V61" s="16">
        <f>IFERROR(INDEX(Volcado_Dist!$A:$ZZ, MATCH($B61, Volcado_Dist!$A:$A, 0), MATCH(V$2, Volcado_Dist!$1:$1, 0)) / SUM(INDEX(Volcado_Dist!$A:$ZZ, 0, MATCH(V$2, Volcado_Dist!$1:$1, 0))), 0)</f>
        <v>0</v>
      </c>
      <c r="W61" s="16">
        <f t="shared" si="1"/>
        <v>1.0722082107148026E-5</v>
      </c>
      <c r="X61" s="17">
        <f>IFERROR(SUM(_xlfn.XLOOKUP($B61, Volcado_Vend!$A:$A, Volcado_Vend!$C:$ZZ, 0)) / SUM(Volcado_Vend!$C:$ZZ), 0)</f>
        <v>0</v>
      </c>
      <c r="Y61" s="24">
        <f t="shared" si="0"/>
        <v>5.3610410535740128E-6</v>
      </c>
    </row>
    <row r="62" spans="2:25" x14ac:dyDescent="0.25">
      <c r="B62" s="15" t="s">
        <v>86</v>
      </c>
      <c r="C62" s="16">
        <f>IFERROR(INDEX(Volcado_Dist!$A:$ZZ, MATCH($B62, Volcado_Dist!$A:$A, 0), MATCH(C$2, Volcado_Dist!$1:$1, 0)) / SUM(INDEX(Volcado_Dist!$A:$ZZ, 0, MATCH(C$2, Volcado_Dist!$1:$1, 0))), 0)</f>
        <v>0</v>
      </c>
      <c r="D62" s="16">
        <f>IFERROR(INDEX(Volcado_Dist!$A:$ZZ, MATCH($B62, Volcado_Dist!$A:$A, 0), MATCH(D$2, Volcado_Dist!$1:$1, 0)) / SUM(INDEX(Volcado_Dist!$A:$ZZ, 0, MATCH(D$2, Volcado_Dist!$1:$1, 0))), 0)</f>
        <v>0</v>
      </c>
      <c r="E62" s="16">
        <f>IFERROR(INDEX(Volcado_Dist!$A:$ZZ, MATCH($B62, Volcado_Dist!$A:$A, 0), MATCH(E$2, Volcado_Dist!$1:$1, 0)) / SUM(INDEX(Volcado_Dist!$A:$ZZ, 0, MATCH(E$2, Volcado_Dist!$1:$1, 0))), 0)</f>
        <v>0</v>
      </c>
      <c r="F62" s="16">
        <f>IFERROR(INDEX(Volcado_Dist!$A:$ZZ, MATCH($B62, Volcado_Dist!$A:$A, 0), MATCH(F$2, Volcado_Dist!$1:$1, 0)) / SUM(INDEX(Volcado_Dist!$A:$ZZ, 0, MATCH(F$2, Volcado_Dist!$1:$1, 0))), 0)</f>
        <v>5.5814461408606011E-4</v>
      </c>
      <c r="G62" s="16">
        <f>IFERROR(INDEX(Volcado_Dist!$A:$ZZ, MATCH($B62, Volcado_Dist!$A:$A, 0), MATCH(G$2, Volcado_Dist!$1:$1, 0)) / SUM(INDEX(Volcado_Dist!$A:$ZZ, 0, MATCH(G$2, Volcado_Dist!$1:$1, 0))), 0)</f>
        <v>0</v>
      </c>
      <c r="H62" s="16">
        <f>IFERROR(INDEX(Volcado_Dist!$A:$ZZ, MATCH($B62, Volcado_Dist!$A:$A, 0), MATCH(H$2, Volcado_Dist!$1:$1, 0)) / SUM(INDEX(Volcado_Dist!$A:$ZZ, 0, MATCH(H$2, Volcado_Dist!$1:$1, 0))), 0)</f>
        <v>0</v>
      </c>
      <c r="I62" s="16">
        <f>IFERROR(INDEX(Volcado_Dist!$A:$ZZ, MATCH($B62, Volcado_Dist!$A:$A, 0), MATCH(I$2, Volcado_Dist!$1:$1, 0)) / SUM(INDEX(Volcado_Dist!$A:$ZZ, 0, MATCH(I$2, Volcado_Dist!$1:$1, 0))), 0)</f>
        <v>0</v>
      </c>
      <c r="J62" s="16">
        <f>IFERROR(INDEX(Volcado_Dist!$A:$ZZ, MATCH($B62, Volcado_Dist!$A:$A, 0), MATCH(J$2, Volcado_Dist!$1:$1, 0)) / SUM(INDEX(Volcado_Dist!$A:$ZZ, 0, MATCH(J$2, Volcado_Dist!$1:$1, 0))), 0)</f>
        <v>0</v>
      </c>
      <c r="K62" s="16">
        <f>IFERROR(INDEX(Volcado_Dist!$A:$ZZ, MATCH($B62, Volcado_Dist!$A:$A, 0), MATCH(K$2, Volcado_Dist!$1:$1, 0)) / SUM(INDEX(Volcado_Dist!$A:$ZZ, 0, MATCH(K$2, Volcado_Dist!$1:$1, 0))), 0)</f>
        <v>8.8983926318227335E-5</v>
      </c>
      <c r="L62" s="16">
        <f>IFERROR(INDEX(Volcado_Dist!$A:$ZZ, MATCH($B62, Volcado_Dist!$A:$A, 0), MATCH(L$2, Volcado_Dist!$1:$1, 0)) / SUM(INDEX(Volcado_Dist!$A:$ZZ, 0, MATCH(L$2, Volcado_Dist!$1:$1, 0))), 0)</f>
        <v>0</v>
      </c>
      <c r="M62" s="16">
        <f>IFERROR(INDEX(Volcado_Dist!$A:$ZZ, MATCH($B62, Volcado_Dist!$A:$A, 0), MATCH(M$2, Volcado_Dist!$1:$1, 0)) / SUM(INDEX(Volcado_Dist!$A:$ZZ, 0, MATCH(M$2, Volcado_Dist!$1:$1, 0))), 0)</f>
        <v>0</v>
      </c>
      <c r="N62" s="16">
        <f>IFERROR(INDEX(Volcado_Dist!$A:$ZZ, MATCH($B62, Volcado_Dist!$A:$A, 0), MATCH(N$2, Volcado_Dist!$1:$1, 0)) / SUM(INDEX(Volcado_Dist!$A:$ZZ, 0, MATCH(N$2, Volcado_Dist!$1:$1, 0))), 0)</f>
        <v>0</v>
      </c>
      <c r="O62" s="16">
        <f>IFERROR(INDEX(Volcado_Dist!$A:$ZZ, MATCH($B62, Volcado_Dist!$A:$A, 0), MATCH(O$2, Volcado_Dist!$1:$1, 0)) / SUM(INDEX(Volcado_Dist!$A:$ZZ, 0, MATCH(O$2, Volcado_Dist!$1:$1, 0))), 0)</f>
        <v>0</v>
      </c>
      <c r="P62" s="16">
        <f>IFERROR(INDEX(Volcado_Dist!$A:$ZZ, MATCH($B62, Volcado_Dist!$A:$A, 0), MATCH(P$2, Volcado_Dist!$1:$1, 0)) / SUM(INDEX(Volcado_Dist!$A:$ZZ, 0, MATCH(P$2, Volcado_Dist!$1:$1, 0))), 0)</f>
        <v>0</v>
      </c>
      <c r="Q62" s="16">
        <f>IFERROR(INDEX(Volcado_Dist!$A:$ZZ, MATCH($B62, Volcado_Dist!$A:$A, 0), MATCH(Q$2, Volcado_Dist!$1:$1, 0)) / SUM(INDEX(Volcado_Dist!$A:$ZZ, 0, MATCH(Q$2, Volcado_Dist!$1:$1, 0))), 0)</f>
        <v>0</v>
      </c>
      <c r="R62" s="16">
        <f>IFERROR(INDEX(Volcado_Dist!$A:$ZZ, MATCH($B62, Volcado_Dist!$A:$A, 0), MATCH(R$2, Volcado_Dist!$1:$1, 0)) / SUM(INDEX(Volcado_Dist!$A:$ZZ, 0, MATCH(R$2, Volcado_Dist!$1:$1, 0))), 0)</f>
        <v>0</v>
      </c>
      <c r="S62" s="16">
        <f>IFERROR(INDEX(Volcado_Dist!$A:$ZZ, MATCH($B62, Volcado_Dist!$A:$A, 0), MATCH(S$2, Volcado_Dist!$1:$1, 0)) / SUM(INDEX(Volcado_Dist!$A:$ZZ, 0, MATCH(S$2, Volcado_Dist!$1:$1, 0))), 0)</f>
        <v>0</v>
      </c>
      <c r="T62" s="16">
        <f>IFERROR(INDEX(Volcado_Dist!$A:$ZZ, MATCH($B62, Volcado_Dist!$A:$A, 0), MATCH(T$2, Volcado_Dist!$1:$1, 0)) / SUM(INDEX(Volcado_Dist!$A:$ZZ, 0, MATCH(T$2, Volcado_Dist!$1:$1, 0))), 0)</f>
        <v>0</v>
      </c>
      <c r="U62" s="16">
        <f>IFERROR(INDEX(Volcado_Dist!$A:$ZZ, MATCH($B62, Volcado_Dist!$A:$A, 0), MATCH(U$2, Volcado_Dist!$1:$1, 0)) / SUM(INDEX(Volcado_Dist!$A:$ZZ, 0, MATCH(U$2, Volcado_Dist!$1:$1, 0))), 0)</f>
        <v>0</v>
      </c>
      <c r="V62" s="16">
        <f>IFERROR(INDEX(Volcado_Dist!$A:$ZZ, MATCH($B62, Volcado_Dist!$A:$A, 0), MATCH(V$2, Volcado_Dist!$1:$1, 0)) / SUM(INDEX(Volcado_Dist!$A:$ZZ, 0, MATCH(V$2, Volcado_Dist!$1:$1, 0))), 0)</f>
        <v>0</v>
      </c>
      <c r="W62" s="16">
        <f t="shared" si="1"/>
        <v>3.2356427020214375E-5</v>
      </c>
      <c r="X62" s="17">
        <f>IFERROR(SUM(_xlfn.XLOOKUP($B62, Volcado_Vend!$A:$A, Volcado_Vend!$C:$ZZ, 0)) / SUM(Volcado_Vend!$C:$ZZ), 0)</f>
        <v>1.0300462613580304E-3</v>
      </c>
      <c r="Y62" s="24">
        <f t="shared" si="0"/>
        <v>5.3120134418912243E-4</v>
      </c>
    </row>
    <row r="63" spans="2:25" x14ac:dyDescent="0.25">
      <c r="B63" s="15" t="s">
        <v>87</v>
      </c>
      <c r="C63" s="16">
        <f>IFERROR(INDEX(Volcado_Dist!$A:$ZZ, MATCH($B63, Volcado_Dist!$A:$A, 0), MATCH(C$2, Volcado_Dist!$1:$1, 0)) / SUM(INDEX(Volcado_Dist!$A:$ZZ, 0, MATCH(C$2, Volcado_Dist!$1:$1, 0))), 0)</f>
        <v>1.9224895941440674E-3</v>
      </c>
      <c r="D63" s="16">
        <f>IFERROR(INDEX(Volcado_Dist!$A:$ZZ, MATCH($B63, Volcado_Dist!$A:$A, 0), MATCH(D$2, Volcado_Dist!$1:$1, 0)) / SUM(INDEX(Volcado_Dist!$A:$ZZ, 0, MATCH(D$2, Volcado_Dist!$1:$1, 0))), 0)</f>
        <v>0</v>
      </c>
      <c r="E63" s="16">
        <f>IFERROR(INDEX(Volcado_Dist!$A:$ZZ, MATCH($B63, Volcado_Dist!$A:$A, 0), MATCH(E$2, Volcado_Dist!$1:$1, 0)) / SUM(INDEX(Volcado_Dist!$A:$ZZ, 0, MATCH(E$2, Volcado_Dist!$1:$1, 0))), 0)</f>
        <v>0</v>
      </c>
      <c r="F63" s="16">
        <f>IFERROR(INDEX(Volcado_Dist!$A:$ZZ, MATCH($B63, Volcado_Dist!$A:$A, 0), MATCH(F$2, Volcado_Dist!$1:$1, 0)) / SUM(INDEX(Volcado_Dist!$A:$ZZ, 0, MATCH(F$2, Volcado_Dist!$1:$1, 0))), 0)</f>
        <v>1.9681538087776892E-3</v>
      </c>
      <c r="G63" s="16">
        <f>IFERROR(INDEX(Volcado_Dist!$A:$ZZ, MATCH($B63, Volcado_Dist!$A:$A, 0), MATCH(G$2, Volcado_Dist!$1:$1, 0)) / SUM(INDEX(Volcado_Dist!$A:$ZZ, 0, MATCH(G$2, Volcado_Dist!$1:$1, 0))), 0)</f>
        <v>0</v>
      </c>
      <c r="H63" s="16">
        <f>IFERROR(INDEX(Volcado_Dist!$A:$ZZ, MATCH($B63, Volcado_Dist!$A:$A, 0), MATCH(H$2, Volcado_Dist!$1:$1, 0)) / SUM(INDEX(Volcado_Dist!$A:$ZZ, 0, MATCH(H$2, Volcado_Dist!$1:$1, 0))), 0)</f>
        <v>0</v>
      </c>
      <c r="I63" s="16">
        <f>IFERROR(INDEX(Volcado_Dist!$A:$ZZ, MATCH($B63, Volcado_Dist!$A:$A, 0), MATCH(I$2, Volcado_Dist!$1:$1, 0)) / SUM(INDEX(Volcado_Dist!$A:$ZZ, 0, MATCH(I$2, Volcado_Dist!$1:$1, 0))), 0)</f>
        <v>1.1466625094807257E-4</v>
      </c>
      <c r="J63" s="16">
        <f>IFERROR(INDEX(Volcado_Dist!$A:$ZZ, MATCH($B63, Volcado_Dist!$A:$A, 0), MATCH(J$2, Volcado_Dist!$1:$1, 0)) / SUM(INDEX(Volcado_Dist!$A:$ZZ, 0, MATCH(J$2, Volcado_Dist!$1:$1, 0))), 0)</f>
        <v>0</v>
      </c>
      <c r="K63" s="16">
        <f>IFERROR(INDEX(Volcado_Dist!$A:$ZZ, MATCH($B63, Volcado_Dist!$A:$A, 0), MATCH(K$2, Volcado_Dist!$1:$1, 0)) / SUM(INDEX(Volcado_Dist!$A:$ZZ, 0, MATCH(K$2, Volcado_Dist!$1:$1, 0))), 0)</f>
        <v>6.8046092573227694E-5</v>
      </c>
      <c r="L63" s="16">
        <f>IFERROR(INDEX(Volcado_Dist!$A:$ZZ, MATCH($B63, Volcado_Dist!$A:$A, 0), MATCH(L$2, Volcado_Dist!$1:$1, 0)) / SUM(INDEX(Volcado_Dist!$A:$ZZ, 0, MATCH(L$2, Volcado_Dist!$1:$1, 0))), 0)</f>
        <v>-1.3913346321708768E-5</v>
      </c>
      <c r="M63" s="16">
        <f>IFERROR(INDEX(Volcado_Dist!$A:$ZZ, MATCH($B63, Volcado_Dist!$A:$A, 0), MATCH(M$2, Volcado_Dist!$1:$1, 0)) / SUM(INDEX(Volcado_Dist!$A:$ZZ, 0, MATCH(M$2, Volcado_Dist!$1:$1, 0))), 0)</f>
        <v>0</v>
      </c>
      <c r="N63" s="16">
        <f>IFERROR(INDEX(Volcado_Dist!$A:$ZZ, MATCH($B63, Volcado_Dist!$A:$A, 0), MATCH(N$2, Volcado_Dist!$1:$1, 0)) / SUM(INDEX(Volcado_Dist!$A:$ZZ, 0, MATCH(N$2, Volcado_Dist!$1:$1, 0))), 0)</f>
        <v>0</v>
      </c>
      <c r="O63" s="16">
        <f>IFERROR(INDEX(Volcado_Dist!$A:$ZZ, MATCH($B63, Volcado_Dist!$A:$A, 0), MATCH(O$2, Volcado_Dist!$1:$1, 0)) / SUM(INDEX(Volcado_Dist!$A:$ZZ, 0, MATCH(O$2, Volcado_Dist!$1:$1, 0))), 0)</f>
        <v>0</v>
      </c>
      <c r="P63" s="16">
        <f>IFERROR(INDEX(Volcado_Dist!$A:$ZZ, MATCH($B63, Volcado_Dist!$A:$A, 0), MATCH(P$2, Volcado_Dist!$1:$1, 0)) / SUM(INDEX(Volcado_Dist!$A:$ZZ, 0, MATCH(P$2, Volcado_Dist!$1:$1, 0))), 0)</f>
        <v>0</v>
      </c>
      <c r="Q63" s="16">
        <f>IFERROR(INDEX(Volcado_Dist!$A:$ZZ, MATCH($B63, Volcado_Dist!$A:$A, 0), MATCH(Q$2, Volcado_Dist!$1:$1, 0)) / SUM(INDEX(Volcado_Dist!$A:$ZZ, 0, MATCH(Q$2, Volcado_Dist!$1:$1, 0))), 0)</f>
        <v>4.8021915838434457E-3</v>
      </c>
      <c r="R63" s="16">
        <f>IFERROR(INDEX(Volcado_Dist!$A:$ZZ, MATCH($B63, Volcado_Dist!$A:$A, 0), MATCH(R$2, Volcado_Dist!$1:$1, 0)) / SUM(INDEX(Volcado_Dist!$A:$ZZ, 0, MATCH(R$2, Volcado_Dist!$1:$1, 0))), 0)</f>
        <v>0</v>
      </c>
      <c r="S63" s="16">
        <f>IFERROR(INDEX(Volcado_Dist!$A:$ZZ, MATCH($B63, Volcado_Dist!$A:$A, 0), MATCH(S$2, Volcado_Dist!$1:$1, 0)) / SUM(INDEX(Volcado_Dist!$A:$ZZ, 0, MATCH(S$2, Volcado_Dist!$1:$1, 0))), 0)</f>
        <v>0</v>
      </c>
      <c r="T63" s="16">
        <f>IFERROR(INDEX(Volcado_Dist!$A:$ZZ, MATCH($B63, Volcado_Dist!$A:$A, 0), MATCH(T$2, Volcado_Dist!$1:$1, 0)) / SUM(INDEX(Volcado_Dist!$A:$ZZ, 0, MATCH(T$2, Volcado_Dist!$1:$1, 0))), 0)</f>
        <v>1.3557204537782417E-4</v>
      </c>
      <c r="U63" s="16">
        <f>IFERROR(INDEX(Volcado_Dist!$A:$ZZ, MATCH($B63, Volcado_Dist!$A:$A, 0), MATCH(U$2, Volcado_Dist!$1:$1, 0)) / SUM(INDEX(Volcado_Dist!$A:$ZZ, 0, MATCH(U$2, Volcado_Dist!$1:$1, 0))), 0)</f>
        <v>0</v>
      </c>
      <c r="V63" s="16">
        <f>IFERROR(INDEX(Volcado_Dist!$A:$ZZ, MATCH($B63, Volcado_Dist!$A:$A, 0), MATCH(V$2, Volcado_Dist!$1:$1, 0)) / SUM(INDEX(Volcado_Dist!$A:$ZZ, 0, MATCH(V$2, Volcado_Dist!$1:$1, 0))), 0)</f>
        <v>-2.9247114233293309E-5</v>
      </c>
      <c r="W63" s="16">
        <f t="shared" si="1"/>
        <v>4.4839794575546614E-4</v>
      </c>
      <c r="X63" s="17">
        <f>IFERROR(SUM(_xlfn.XLOOKUP($B63, Volcado_Vend!$A:$A, Volcado_Vend!$C:$ZZ, 0)) / SUM(Volcado_Vend!$C:$ZZ), 0)</f>
        <v>1.6795922167447467E-3</v>
      </c>
      <c r="Y63" s="24">
        <f t="shared" si="0"/>
        <v>1.0639950812501063E-3</v>
      </c>
    </row>
    <row r="64" spans="2:25" x14ac:dyDescent="0.25">
      <c r="B64" s="15" t="s">
        <v>88</v>
      </c>
      <c r="C64" s="16">
        <f>IFERROR(INDEX(Volcado_Dist!$A:$ZZ, MATCH($B64, Volcado_Dist!$A:$A, 0), MATCH(C$2, Volcado_Dist!$1:$1, 0)) / SUM(INDEX(Volcado_Dist!$A:$ZZ, 0, MATCH(C$2, Volcado_Dist!$1:$1, 0))), 0)</f>
        <v>2.216971205778151E-2</v>
      </c>
      <c r="D64" s="16">
        <f>IFERROR(INDEX(Volcado_Dist!$A:$ZZ, MATCH($B64, Volcado_Dist!$A:$A, 0), MATCH(D$2, Volcado_Dist!$1:$1, 0)) / SUM(INDEX(Volcado_Dist!$A:$ZZ, 0, MATCH(D$2, Volcado_Dist!$1:$1, 0))), 0)</f>
        <v>0</v>
      </c>
      <c r="E64" s="16">
        <f>IFERROR(INDEX(Volcado_Dist!$A:$ZZ, MATCH($B64, Volcado_Dist!$A:$A, 0), MATCH(E$2, Volcado_Dist!$1:$1, 0)) / SUM(INDEX(Volcado_Dist!$A:$ZZ, 0, MATCH(E$2, Volcado_Dist!$1:$1, 0))), 0)</f>
        <v>1.2543825428737334E-2</v>
      </c>
      <c r="F64" s="16">
        <f>IFERROR(INDEX(Volcado_Dist!$A:$ZZ, MATCH($B64, Volcado_Dist!$A:$A, 0), MATCH(F$2, Volcado_Dist!$1:$1, 0)) / SUM(INDEX(Volcado_Dist!$A:$ZZ, 0, MATCH(F$2, Volcado_Dist!$1:$1, 0))), 0)</f>
        <v>3.192093595294504E-2</v>
      </c>
      <c r="G64" s="16">
        <f>IFERROR(INDEX(Volcado_Dist!$A:$ZZ, MATCH($B64, Volcado_Dist!$A:$A, 0), MATCH(G$2, Volcado_Dist!$1:$1, 0)) / SUM(INDEX(Volcado_Dist!$A:$ZZ, 0, MATCH(G$2, Volcado_Dist!$1:$1, 0))), 0)</f>
        <v>0</v>
      </c>
      <c r="H64" s="16">
        <f>IFERROR(INDEX(Volcado_Dist!$A:$ZZ, MATCH($B64, Volcado_Dist!$A:$A, 0), MATCH(H$2, Volcado_Dist!$1:$1, 0)) / SUM(INDEX(Volcado_Dist!$A:$ZZ, 0, MATCH(H$2, Volcado_Dist!$1:$1, 0))), 0)</f>
        <v>0</v>
      </c>
      <c r="I64" s="16">
        <f>IFERROR(INDEX(Volcado_Dist!$A:$ZZ, MATCH($B64, Volcado_Dist!$A:$A, 0), MATCH(I$2, Volcado_Dist!$1:$1, 0)) / SUM(INDEX(Volcado_Dist!$A:$ZZ, 0, MATCH(I$2, Volcado_Dist!$1:$1, 0))), 0)</f>
        <v>1.0556411277049689E-2</v>
      </c>
      <c r="J64" s="16">
        <f>IFERROR(INDEX(Volcado_Dist!$A:$ZZ, MATCH($B64, Volcado_Dist!$A:$A, 0), MATCH(J$2, Volcado_Dist!$1:$1, 0)) / SUM(INDEX(Volcado_Dist!$A:$ZZ, 0, MATCH(J$2, Volcado_Dist!$1:$1, 0))), 0)</f>
        <v>6.4196612238115722E-2</v>
      </c>
      <c r="K64" s="16">
        <f>IFERROR(INDEX(Volcado_Dist!$A:$ZZ, MATCH($B64, Volcado_Dist!$A:$A, 0), MATCH(K$2, Volcado_Dist!$1:$1, 0)) / SUM(INDEX(Volcado_Dist!$A:$ZZ, 0, MATCH(K$2, Volcado_Dist!$1:$1, 0))), 0)</f>
        <v>2.0613256638868965E-2</v>
      </c>
      <c r="L64" s="16">
        <f>IFERROR(INDEX(Volcado_Dist!$A:$ZZ, MATCH($B64, Volcado_Dist!$A:$A, 0), MATCH(L$2, Volcado_Dist!$1:$1, 0)) / SUM(INDEX(Volcado_Dist!$A:$ZZ, 0, MATCH(L$2, Volcado_Dist!$1:$1, 0))), 0)</f>
        <v>1.1307139010715518E-3</v>
      </c>
      <c r="M64" s="16">
        <f>IFERROR(INDEX(Volcado_Dist!$A:$ZZ, MATCH($B64, Volcado_Dist!$A:$A, 0), MATCH(M$2, Volcado_Dist!$1:$1, 0)) / SUM(INDEX(Volcado_Dist!$A:$ZZ, 0, MATCH(M$2, Volcado_Dist!$1:$1, 0))), 0)</f>
        <v>3.967725582781511E-2</v>
      </c>
      <c r="N64" s="16">
        <f>IFERROR(INDEX(Volcado_Dist!$A:$ZZ, MATCH($B64, Volcado_Dist!$A:$A, 0), MATCH(N$2, Volcado_Dist!$1:$1, 0)) / SUM(INDEX(Volcado_Dist!$A:$ZZ, 0, MATCH(N$2, Volcado_Dist!$1:$1, 0))), 0)</f>
        <v>0</v>
      </c>
      <c r="O64" s="16">
        <f>IFERROR(INDEX(Volcado_Dist!$A:$ZZ, MATCH($B64, Volcado_Dist!$A:$A, 0), MATCH(O$2, Volcado_Dist!$1:$1, 0)) / SUM(INDEX(Volcado_Dist!$A:$ZZ, 0, MATCH(O$2, Volcado_Dist!$1:$1, 0))), 0)</f>
        <v>2.0116713484131174E-2</v>
      </c>
      <c r="P64" s="16">
        <f>IFERROR(INDEX(Volcado_Dist!$A:$ZZ, MATCH($B64, Volcado_Dist!$A:$A, 0), MATCH(P$2, Volcado_Dist!$1:$1, 0)) / SUM(INDEX(Volcado_Dist!$A:$ZZ, 0, MATCH(P$2, Volcado_Dist!$1:$1, 0))), 0)</f>
        <v>1.2720490395603965E-2</v>
      </c>
      <c r="Q64" s="16">
        <f>IFERROR(INDEX(Volcado_Dist!$A:$ZZ, MATCH($B64, Volcado_Dist!$A:$A, 0), MATCH(Q$2, Volcado_Dist!$1:$1, 0)) / SUM(INDEX(Volcado_Dist!$A:$ZZ, 0, MATCH(Q$2, Volcado_Dist!$1:$1, 0))), 0)</f>
        <v>5.2726157000615406E-2</v>
      </c>
      <c r="R64" s="16">
        <f>IFERROR(INDEX(Volcado_Dist!$A:$ZZ, MATCH($B64, Volcado_Dist!$A:$A, 0), MATCH(R$2, Volcado_Dist!$1:$1, 0)) / SUM(INDEX(Volcado_Dist!$A:$ZZ, 0, MATCH(R$2, Volcado_Dist!$1:$1, 0))), 0)</f>
        <v>6.0885428065078975E-2</v>
      </c>
      <c r="S64" s="16">
        <f>IFERROR(INDEX(Volcado_Dist!$A:$ZZ, MATCH($B64, Volcado_Dist!$A:$A, 0), MATCH(S$2, Volcado_Dist!$1:$1, 0)) / SUM(INDEX(Volcado_Dist!$A:$ZZ, 0, MATCH(S$2, Volcado_Dist!$1:$1, 0))), 0)</f>
        <v>8.086794978444993E-3</v>
      </c>
      <c r="T64" s="16">
        <f>IFERROR(INDEX(Volcado_Dist!$A:$ZZ, MATCH($B64, Volcado_Dist!$A:$A, 0), MATCH(T$2, Volcado_Dist!$1:$1, 0)) / SUM(INDEX(Volcado_Dist!$A:$ZZ, 0, MATCH(T$2, Volcado_Dist!$1:$1, 0))), 0)</f>
        <v>4.1357325910732538E-2</v>
      </c>
      <c r="U64" s="16">
        <f>IFERROR(INDEX(Volcado_Dist!$A:$ZZ, MATCH($B64, Volcado_Dist!$A:$A, 0), MATCH(U$2, Volcado_Dist!$1:$1, 0)) / SUM(INDEX(Volcado_Dist!$A:$ZZ, 0, MATCH(U$2, Volcado_Dist!$1:$1, 0))), 0)</f>
        <v>8.1442329958911527E-2</v>
      </c>
      <c r="V64" s="16">
        <f>IFERROR(INDEX(Volcado_Dist!$A:$ZZ, MATCH($B64, Volcado_Dist!$A:$A, 0), MATCH(V$2, Volcado_Dist!$1:$1, 0)) / SUM(INDEX(Volcado_Dist!$A:$ZZ, 0, MATCH(V$2, Volcado_Dist!$1:$1, 0))), 0)</f>
        <v>8.254108721981842E-3</v>
      </c>
      <c r="W64" s="16">
        <f t="shared" si="1"/>
        <v>2.4419903591894269E-2</v>
      </c>
      <c r="X64" s="17">
        <f>IFERROR(SUM(_xlfn.XLOOKUP($B64, Volcado_Vend!$A:$A, Volcado_Vend!$C:$ZZ, 0)) / SUM(Volcado_Vend!$C:$ZZ), 0)</f>
        <v>2.7298524444900777E-2</v>
      </c>
      <c r="Y64" s="24">
        <f t="shared" si="0"/>
        <v>2.5859214018397525E-2</v>
      </c>
    </row>
    <row r="65" spans="2:25" x14ac:dyDescent="0.25">
      <c r="B65" s="15" t="s">
        <v>89</v>
      </c>
      <c r="C65" s="16">
        <f>IFERROR(INDEX(Volcado_Dist!$A:$ZZ, MATCH($B65, Volcado_Dist!$A:$A, 0), MATCH(C$2, Volcado_Dist!$1:$1, 0)) / SUM(INDEX(Volcado_Dist!$A:$ZZ, 0, MATCH(C$2, Volcado_Dist!$1:$1, 0))), 0)</f>
        <v>0</v>
      </c>
      <c r="D65" s="16">
        <f>IFERROR(INDEX(Volcado_Dist!$A:$ZZ, MATCH($B65, Volcado_Dist!$A:$A, 0), MATCH(D$2, Volcado_Dist!$1:$1, 0)) / SUM(INDEX(Volcado_Dist!$A:$ZZ, 0, MATCH(D$2, Volcado_Dist!$1:$1, 0))), 0)</f>
        <v>0</v>
      </c>
      <c r="E65" s="16">
        <f>IFERROR(INDEX(Volcado_Dist!$A:$ZZ, MATCH($B65, Volcado_Dist!$A:$A, 0), MATCH(E$2, Volcado_Dist!$1:$1, 0)) / SUM(INDEX(Volcado_Dist!$A:$ZZ, 0, MATCH(E$2, Volcado_Dist!$1:$1, 0))), 0)</f>
        <v>-2.221357371415083E-4</v>
      </c>
      <c r="F65" s="16">
        <f>IFERROR(INDEX(Volcado_Dist!$A:$ZZ, MATCH($B65, Volcado_Dist!$A:$A, 0), MATCH(F$2, Volcado_Dist!$1:$1, 0)) / SUM(INDEX(Volcado_Dist!$A:$ZZ, 0, MATCH(F$2, Volcado_Dist!$1:$1, 0))), 0)</f>
        <v>0</v>
      </c>
      <c r="G65" s="16">
        <f>IFERROR(INDEX(Volcado_Dist!$A:$ZZ, MATCH($B65, Volcado_Dist!$A:$A, 0), MATCH(G$2, Volcado_Dist!$1:$1, 0)) / SUM(INDEX(Volcado_Dist!$A:$ZZ, 0, MATCH(G$2, Volcado_Dist!$1:$1, 0))), 0)</f>
        <v>0</v>
      </c>
      <c r="H65" s="16">
        <f>IFERROR(INDEX(Volcado_Dist!$A:$ZZ, MATCH($B65, Volcado_Dist!$A:$A, 0), MATCH(H$2, Volcado_Dist!$1:$1, 0)) / SUM(INDEX(Volcado_Dist!$A:$ZZ, 0, MATCH(H$2, Volcado_Dist!$1:$1, 0))), 0)</f>
        <v>0</v>
      </c>
      <c r="I65" s="16">
        <f>IFERROR(INDEX(Volcado_Dist!$A:$ZZ, MATCH($B65, Volcado_Dist!$A:$A, 0), MATCH(I$2, Volcado_Dist!$1:$1, 0)) / SUM(INDEX(Volcado_Dist!$A:$ZZ, 0, MATCH(I$2, Volcado_Dist!$1:$1, 0))), 0)</f>
        <v>2.9074428994250598E-5</v>
      </c>
      <c r="J65" s="16">
        <f>IFERROR(INDEX(Volcado_Dist!$A:$ZZ, MATCH($B65, Volcado_Dist!$A:$A, 0), MATCH(J$2, Volcado_Dist!$1:$1, 0)) / SUM(INDEX(Volcado_Dist!$A:$ZZ, 0, MATCH(J$2, Volcado_Dist!$1:$1, 0))), 0)</f>
        <v>0</v>
      </c>
      <c r="K65" s="16">
        <f>IFERROR(INDEX(Volcado_Dist!$A:$ZZ, MATCH($B65, Volcado_Dist!$A:$A, 0), MATCH(K$2, Volcado_Dist!$1:$1, 0)) / SUM(INDEX(Volcado_Dist!$A:$ZZ, 0, MATCH(K$2, Volcado_Dist!$1:$1, 0))), 0)</f>
        <v>8.6229661932186964E-5</v>
      </c>
      <c r="L65" s="16">
        <f>IFERROR(INDEX(Volcado_Dist!$A:$ZZ, MATCH($B65, Volcado_Dist!$A:$A, 0), MATCH(L$2, Volcado_Dist!$1:$1, 0)) / SUM(INDEX(Volcado_Dist!$A:$ZZ, 0, MATCH(L$2, Volcado_Dist!$1:$1, 0))), 0)</f>
        <v>0</v>
      </c>
      <c r="M65" s="16">
        <f>IFERROR(INDEX(Volcado_Dist!$A:$ZZ, MATCH($B65, Volcado_Dist!$A:$A, 0), MATCH(M$2, Volcado_Dist!$1:$1, 0)) / SUM(INDEX(Volcado_Dist!$A:$ZZ, 0, MATCH(M$2, Volcado_Dist!$1:$1, 0))), 0)</f>
        <v>0</v>
      </c>
      <c r="N65" s="16">
        <f>IFERROR(INDEX(Volcado_Dist!$A:$ZZ, MATCH($B65, Volcado_Dist!$A:$A, 0), MATCH(N$2, Volcado_Dist!$1:$1, 0)) / SUM(INDEX(Volcado_Dist!$A:$ZZ, 0, MATCH(N$2, Volcado_Dist!$1:$1, 0))), 0)</f>
        <v>0</v>
      </c>
      <c r="O65" s="16">
        <f>IFERROR(INDEX(Volcado_Dist!$A:$ZZ, MATCH($B65, Volcado_Dist!$A:$A, 0), MATCH(O$2, Volcado_Dist!$1:$1, 0)) / SUM(INDEX(Volcado_Dist!$A:$ZZ, 0, MATCH(O$2, Volcado_Dist!$1:$1, 0))), 0)</f>
        <v>0</v>
      </c>
      <c r="P65" s="16">
        <f>IFERROR(INDEX(Volcado_Dist!$A:$ZZ, MATCH($B65, Volcado_Dist!$A:$A, 0), MATCH(P$2, Volcado_Dist!$1:$1, 0)) / SUM(INDEX(Volcado_Dist!$A:$ZZ, 0, MATCH(P$2, Volcado_Dist!$1:$1, 0))), 0)</f>
        <v>2.2177270841460114E-4</v>
      </c>
      <c r="Q65" s="16">
        <f>IFERROR(INDEX(Volcado_Dist!$A:$ZZ, MATCH($B65, Volcado_Dist!$A:$A, 0), MATCH(Q$2, Volcado_Dist!$1:$1, 0)) / SUM(INDEX(Volcado_Dist!$A:$ZZ, 0, MATCH(Q$2, Volcado_Dist!$1:$1, 0))), 0)</f>
        <v>0</v>
      </c>
      <c r="R65" s="16">
        <f>IFERROR(INDEX(Volcado_Dist!$A:$ZZ, MATCH($B65, Volcado_Dist!$A:$A, 0), MATCH(R$2, Volcado_Dist!$1:$1, 0)) / SUM(INDEX(Volcado_Dist!$A:$ZZ, 0, MATCH(R$2, Volcado_Dist!$1:$1, 0))), 0)</f>
        <v>0</v>
      </c>
      <c r="S65" s="16">
        <f>IFERROR(INDEX(Volcado_Dist!$A:$ZZ, MATCH($B65, Volcado_Dist!$A:$A, 0), MATCH(S$2, Volcado_Dist!$1:$1, 0)) / SUM(INDEX(Volcado_Dist!$A:$ZZ, 0, MATCH(S$2, Volcado_Dist!$1:$1, 0))), 0)</f>
        <v>0</v>
      </c>
      <c r="T65" s="16">
        <f>IFERROR(INDEX(Volcado_Dist!$A:$ZZ, MATCH($B65, Volcado_Dist!$A:$A, 0), MATCH(T$2, Volcado_Dist!$1:$1, 0)) / SUM(INDEX(Volcado_Dist!$A:$ZZ, 0, MATCH(T$2, Volcado_Dist!$1:$1, 0))), 0)</f>
        <v>0</v>
      </c>
      <c r="U65" s="16">
        <f>IFERROR(INDEX(Volcado_Dist!$A:$ZZ, MATCH($B65, Volcado_Dist!$A:$A, 0), MATCH(U$2, Volcado_Dist!$1:$1, 0)) / SUM(INDEX(Volcado_Dist!$A:$ZZ, 0, MATCH(U$2, Volcado_Dist!$1:$1, 0))), 0)</f>
        <v>0</v>
      </c>
      <c r="V65" s="16">
        <f>IFERROR(INDEX(Volcado_Dist!$A:$ZZ, MATCH($B65, Volcado_Dist!$A:$A, 0), MATCH(V$2, Volcado_Dist!$1:$1, 0)) / SUM(INDEX(Volcado_Dist!$A:$ZZ, 0, MATCH(V$2, Volcado_Dist!$1:$1, 0))), 0)</f>
        <v>0</v>
      </c>
      <c r="W65" s="16">
        <f t="shared" si="1"/>
        <v>5.7470531099765202E-6</v>
      </c>
      <c r="X65" s="17">
        <f>IFERROR(SUM(_xlfn.XLOOKUP($B65, Volcado_Vend!$A:$A, Volcado_Vend!$C:$ZZ, 0)) / SUM(Volcado_Vend!$C:$ZZ), 0)</f>
        <v>6.616194031064471E-4</v>
      </c>
      <c r="Y65" s="24">
        <f t="shared" si="0"/>
        <v>3.3368322810821183E-4</v>
      </c>
    </row>
    <row r="66" spans="2:25" x14ac:dyDescent="0.25">
      <c r="B66" s="15" t="s">
        <v>90</v>
      </c>
      <c r="C66" s="16">
        <f>IFERROR(INDEX(Volcado_Dist!$A:$ZZ, MATCH($B66, Volcado_Dist!$A:$A, 0), MATCH(C$2, Volcado_Dist!$1:$1, 0)) / SUM(INDEX(Volcado_Dist!$A:$ZZ, 0, MATCH(C$2, Volcado_Dist!$1:$1, 0))), 0)</f>
        <v>0</v>
      </c>
      <c r="D66" s="16">
        <f>IFERROR(INDEX(Volcado_Dist!$A:$ZZ, MATCH($B66, Volcado_Dist!$A:$A, 0), MATCH(D$2, Volcado_Dist!$1:$1, 0)) / SUM(INDEX(Volcado_Dist!$A:$ZZ, 0, MATCH(D$2, Volcado_Dist!$1:$1, 0))), 0)</f>
        <v>0</v>
      </c>
      <c r="E66" s="16">
        <f>IFERROR(INDEX(Volcado_Dist!$A:$ZZ, MATCH($B66, Volcado_Dist!$A:$A, 0), MATCH(E$2, Volcado_Dist!$1:$1, 0)) / SUM(INDEX(Volcado_Dist!$A:$ZZ, 0, MATCH(E$2, Volcado_Dist!$1:$1, 0))), 0)</f>
        <v>1.1805416582360004E-3</v>
      </c>
      <c r="F66" s="16">
        <f>IFERROR(INDEX(Volcado_Dist!$A:$ZZ, MATCH($B66, Volcado_Dist!$A:$A, 0), MATCH(F$2, Volcado_Dist!$1:$1, 0)) / SUM(INDEX(Volcado_Dist!$A:$ZZ, 0, MATCH(F$2, Volcado_Dist!$1:$1, 0))), 0)</f>
        <v>0</v>
      </c>
      <c r="G66" s="16">
        <f>IFERROR(INDEX(Volcado_Dist!$A:$ZZ, MATCH($B66, Volcado_Dist!$A:$A, 0), MATCH(G$2, Volcado_Dist!$1:$1, 0)) / SUM(INDEX(Volcado_Dist!$A:$ZZ, 0, MATCH(G$2, Volcado_Dist!$1:$1, 0))), 0)</f>
        <v>0</v>
      </c>
      <c r="H66" s="16">
        <f>IFERROR(INDEX(Volcado_Dist!$A:$ZZ, MATCH($B66, Volcado_Dist!$A:$A, 0), MATCH(H$2, Volcado_Dist!$1:$1, 0)) / SUM(INDEX(Volcado_Dist!$A:$ZZ, 0, MATCH(H$2, Volcado_Dist!$1:$1, 0))), 0)</f>
        <v>0</v>
      </c>
      <c r="I66" s="16">
        <f>IFERROR(INDEX(Volcado_Dist!$A:$ZZ, MATCH($B66, Volcado_Dist!$A:$A, 0), MATCH(I$2, Volcado_Dist!$1:$1, 0)) / SUM(INDEX(Volcado_Dist!$A:$ZZ, 0, MATCH(I$2, Volcado_Dist!$1:$1, 0))), 0)</f>
        <v>0</v>
      </c>
      <c r="J66" s="16">
        <f>IFERROR(INDEX(Volcado_Dist!$A:$ZZ, MATCH($B66, Volcado_Dist!$A:$A, 0), MATCH(J$2, Volcado_Dist!$1:$1, 0)) / SUM(INDEX(Volcado_Dist!$A:$ZZ, 0, MATCH(J$2, Volcado_Dist!$1:$1, 0))), 0)</f>
        <v>0</v>
      </c>
      <c r="K66" s="16">
        <f>IFERROR(INDEX(Volcado_Dist!$A:$ZZ, MATCH($B66, Volcado_Dist!$A:$A, 0), MATCH(K$2, Volcado_Dist!$1:$1, 0)) / SUM(INDEX(Volcado_Dist!$A:$ZZ, 0, MATCH(K$2, Volcado_Dist!$1:$1, 0))), 0)</f>
        <v>3.2627439650016687E-5</v>
      </c>
      <c r="L66" s="16">
        <f>IFERROR(INDEX(Volcado_Dist!$A:$ZZ, MATCH($B66, Volcado_Dist!$A:$A, 0), MATCH(L$2, Volcado_Dist!$1:$1, 0)) / SUM(INDEX(Volcado_Dist!$A:$ZZ, 0, MATCH(L$2, Volcado_Dist!$1:$1, 0))), 0)</f>
        <v>0</v>
      </c>
      <c r="M66" s="16">
        <f>IFERROR(INDEX(Volcado_Dist!$A:$ZZ, MATCH($B66, Volcado_Dist!$A:$A, 0), MATCH(M$2, Volcado_Dist!$1:$1, 0)) / SUM(INDEX(Volcado_Dist!$A:$ZZ, 0, MATCH(M$2, Volcado_Dist!$1:$1, 0))), 0)</f>
        <v>0</v>
      </c>
      <c r="N66" s="16">
        <f>IFERROR(INDEX(Volcado_Dist!$A:$ZZ, MATCH($B66, Volcado_Dist!$A:$A, 0), MATCH(N$2, Volcado_Dist!$1:$1, 0)) / SUM(INDEX(Volcado_Dist!$A:$ZZ, 0, MATCH(N$2, Volcado_Dist!$1:$1, 0))), 0)</f>
        <v>0</v>
      </c>
      <c r="O66" s="16">
        <f>IFERROR(INDEX(Volcado_Dist!$A:$ZZ, MATCH($B66, Volcado_Dist!$A:$A, 0), MATCH(O$2, Volcado_Dist!$1:$1, 0)) / SUM(INDEX(Volcado_Dist!$A:$ZZ, 0, MATCH(O$2, Volcado_Dist!$1:$1, 0))), 0)</f>
        <v>0</v>
      </c>
      <c r="P66" s="16">
        <f>IFERROR(INDEX(Volcado_Dist!$A:$ZZ, MATCH($B66, Volcado_Dist!$A:$A, 0), MATCH(P$2, Volcado_Dist!$1:$1, 0)) / SUM(INDEX(Volcado_Dist!$A:$ZZ, 0, MATCH(P$2, Volcado_Dist!$1:$1, 0))), 0)</f>
        <v>0</v>
      </c>
      <c r="Q66" s="16">
        <f>IFERROR(INDEX(Volcado_Dist!$A:$ZZ, MATCH($B66, Volcado_Dist!$A:$A, 0), MATCH(Q$2, Volcado_Dist!$1:$1, 0)) / SUM(INDEX(Volcado_Dist!$A:$ZZ, 0, MATCH(Q$2, Volcado_Dist!$1:$1, 0))), 0)</f>
        <v>0</v>
      </c>
      <c r="R66" s="16">
        <f>IFERROR(INDEX(Volcado_Dist!$A:$ZZ, MATCH($B66, Volcado_Dist!$A:$A, 0), MATCH(R$2, Volcado_Dist!$1:$1, 0)) / SUM(INDEX(Volcado_Dist!$A:$ZZ, 0, MATCH(R$2, Volcado_Dist!$1:$1, 0))), 0)</f>
        <v>0</v>
      </c>
      <c r="S66" s="16">
        <f>IFERROR(INDEX(Volcado_Dist!$A:$ZZ, MATCH($B66, Volcado_Dist!$A:$A, 0), MATCH(S$2, Volcado_Dist!$1:$1, 0)) / SUM(INDEX(Volcado_Dist!$A:$ZZ, 0, MATCH(S$2, Volcado_Dist!$1:$1, 0))), 0)</f>
        <v>5.4765155808318743E-4</v>
      </c>
      <c r="T66" s="16">
        <f>IFERROR(INDEX(Volcado_Dist!$A:$ZZ, MATCH($B66, Volcado_Dist!$A:$A, 0), MATCH(T$2, Volcado_Dist!$1:$1, 0)) / SUM(INDEX(Volcado_Dist!$A:$ZZ, 0, MATCH(T$2, Volcado_Dist!$1:$1, 0))), 0)</f>
        <v>0</v>
      </c>
      <c r="U66" s="16">
        <f>IFERROR(INDEX(Volcado_Dist!$A:$ZZ, MATCH($B66, Volcado_Dist!$A:$A, 0), MATCH(U$2, Volcado_Dist!$1:$1, 0)) / SUM(INDEX(Volcado_Dist!$A:$ZZ, 0, MATCH(U$2, Volcado_Dist!$1:$1, 0))), 0)</f>
        <v>0</v>
      </c>
      <c r="V66" s="16">
        <f>IFERROR(INDEX(Volcado_Dist!$A:$ZZ, MATCH($B66, Volcado_Dist!$A:$A, 0), MATCH(V$2, Volcado_Dist!$1:$1, 0)) / SUM(INDEX(Volcado_Dist!$A:$ZZ, 0, MATCH(V$2, Volcado_Dist!$1:$1, 0))), 0)</f>
        <v>5.9284691013432387E-4</v>
      </c>
      <c r="W66" s="16">
        <f t="shared" si="1"/>
        <v>1.1768337830517643E-4</v>
      </c>
      <c r="X66" s="17">
        <f>IFERROR(SUM(_xlfn.XLOOKUP($B66, Volcado_Vend!$A:$A, Volcado_Vend!$C:$ZZ, 0)) / SUM(Volcado_Vend!$C:$ZZ), 0)</f>
        <v>1.8670279978965376E-4</v>
      </c>
      <c r="Y66" s="24">
        <f t="shared" si="0"/>
        <v>1.521930890474151E-4</v>
      </c>
    </row>
    <row r="67" spans="2:25" x14ac:dyDescent="0.25">
      <c r="B67" s="15" t="s">
        <v>91</v>
      </c>
      <c r="C67" s="16">
        <f>IFERROR(INDEX(Volcado_Dist!$A:$ZZ, MATCH($B67, Volcado_Dist!$A:$A, 0), MATCH(C$2, Volcado_Dist!$1:$1, 0)) / SUM(INDEX(Volcado_Dist!$A:$ZZ, 0, MATCH(C$2, Volcado_Dist!$1:$1, 0))), 0)</f>
        <v>1.6371915325399272E-3</v>
      </c>
      <c r="D67" s="16">
        <f>IFERROR(INDEX(Volcado_Dist!$A:$ZZ, MATCH($B67, Volcado_Dist!$A:$A, 0), MATCH(D$2, Volcado_Dist!$1:$1, 0)) / SUM(INDEX(Volcado_Dist!$A:$ZZ, 0, MATCH(D$2, Volcado_Dist!$1:$1, 0))), 0)</f>
        <v>0</v>
      </c>
      <c r="E67" s="16">
        <f>IFERROR(INDEX(Volcado_Dist!$A:$ZZ, MATCH($B67, Volcado_Dist!$A:$A, 0), MATCH(E$2, Volcado_Dist!$1:$1, 0)) / SUM(INDEX(Volcado_Dist!$A:$ZZ, 0, MATCH(E$2, Volcado_Dist!$1:$1, 0))), 0)</f>
        <v>9.5783561111466829E-4</v>
      </c>
      <c r="F67" s="16">
        <f>IFERROR(INDEX(Volcado_Dist!$A:$ZZ, MATCH($B67, Volcado_Dist!$A:$A, 0), MATCH(F$2, Volcado_Dist!$1:$1, 0)) / SUM(INDEX(Volcado_Dist!$A:$ZZ, 0, MATCH(F$2, Volcado_Dist!$1:$1, 0))), 0)</f>
        <v>5.4123853749454094E-4</v>
      </c>
      <c r="G67" s="16">
        <f>IFERROR(INDEX(Volcado_Dist!$A:$ZZ, MATCH($B67, Volcado_Dist!$A:$A, 0), MATCH(G$2, Volcado_Dist!$1:$1, 0)) / SUM(INDEX(Volcado_Dist!$A:$ZZ, 0, MATCH(G$2, Volcado_Dist!$1:$1, 0))), 0)</f>
        <v>0</v>
      </c>
      <c r="H67" s="16">
        <f>IFERROR(INDEX(Volcado_Dist!$A:$ZZ, MATCH($B67, Volcado_Dist!$A:$A, 0), MATCH(H$2, Volcado_Dist!$1:$1, 0)) / SUM(INDEX(Volcado_Dist!$A:$ZZ, 0, MATCH(H$2, Volcado_Dist!$1:$1, 0))), 0)</f>
        <v>2.3797977968741293E-2</v>
      </c>
      <c r="I67" s="16">
        <f>IFERROR(INDEX(Volcado_Dist!$A:$ZZ, MATCH($B67, Volcado_Dist!$A:$A, 0), MATCH(I$2, Volcado_Dist!$1:$1, 0)) / SUM(INDEX(Volcado_Dist!$A:$ZZ, 0, MATCH(I$2, Volcado_Dist!$1:$1, 0))), 0)</f>
        <v>9.9137600264145743E-3</v>
      </c>
      <c r="J67" s="16">
        <f>IFERROR(INDEX(Volcado_Dist!$A:$ZZ, MATCH($B67, Volcado_Dist!$A:$A, 0), MATCH(J$2, Volcado_Dist!$1:$1, 0)) / SUM(INDEX(Volcado_Dist!$A:$ZZ, 0, MATCH(J$2, Volcado_Dist!$1:$1, 0))), 0)</f>
        <v>0</v>
      </c>
      <c r="K67" s="16">
        <f>IFERROR(INDEX(Volcado_Dist!$A:$ZZ, MATCH($B67, Volcado_Dist!$A:$A, 0), MATCH(K$2, Volcado_Dist!$1:$1, 0)) / SUM(INDEX(Volcado_Dist!$A:$ZZ, 0, MATCH(K$2, Volcado_Dist!$1:$1, 0))), 0)</f>
        <v>1.5995102495760937E-3</v>
      </c>
      <c r="L67" s="16">
        <f>IFERROR(INDEX(Volcado_Dist!$A:$ZZ, MATCH($B67, Volcado_Dist!$A:$A, 0), MATCH(L$2, Volcado_Dist!$1:$1, 0)) / SUM(INDEX(Volcado_Dist!$A:$ZZ, 0, MATCH(L$2, Volcado_Dist!$1:$1, 0))), 0)</f>
        <v>2.1012546444883098E-3</v>
      </c>
      <c r="M67" s="16">
        <f>IFERROR(INDEX(Volcado_Dist!$A:$ZZ, MATCH($B67, Volcado_Dist!$A:$A, 0), MATCH(M$2, Volcado_Dist!$1:$1, 0)) / SUM(INDEX(Volcado_Dist!$A:$ZZ, 0, MATCH(M$2, Volcado_Dist!$1:$1, 0))), 0)</f>
        <v>1.4633861872243498E-2</v>
      </c>
      <c r="N67" s="16">
        <f>IFERROR(INDEX(Volcado_Dist!$A:$ZZ, MATCH($B67, Volcado_Dist!$A:$A, 0), MATCH(N$2, Volcado_Dist!$1:$1, 0)) / SUM(INDEX(Volcado_Dist!$A:$ZZ, 0, MATCH(N$2, Volcado_Dist!$1:$1, 0))), 0)</f>
        <v>0</v>
      </c>
      <c r="O67" s="16">
        <f>IFERROR(INDEX(Volcado_Dist!$A:$ZZ, MATCH($B67, Volcado_Dist!$A:$A, 0), MATCH(O$2, Volcado_Dist!$1:$1, 0)) / SUM(INDEX(Volcado_Dist!$A:$ZZ, 0, MATCH(O$2, Volcado_Dist!$1:$1, 0))), 0)</f>
        <v>0</v>
      </c>
      <c r="P67" s="16">
        <f>IFERROR(INDEX(Volcado_Dist!$A:$ZZ, MATCH($B67, Volcado_Dist!$A:$A, 0), MATCH(P$2, Volcado_Dist!$1:$1, 0)) / SUM(INDEX(Volcado_Dist!$A:$ZZ, 0, MATCH(P$2, Volcado_Dist!$1:$1, 0))), 0)</f>
        <v>1.0668585740539296E-3</v>
      </c>
      <c r="Q67" s="16">
        <f>IFERROR(INDEX(Volcado_Dist!$A:$ZZ, MATCH($B67, Volcado_Dist!$A:$A, 0), MATCH(Q$2, Volcado_Dist!$1:$1, 0)) / SUM(INDEX(Volcado_Dist!$A:$ZZ, 0, MATCH(Q$2, Volcado_Dist!$1:$1, 0))), 0)</f>
        <v>2.9052728017855511E-3</v>
      </c>
      <c r="R67" s="16">
        <f>IFERROR(INDEX(Volcado_Dist!$A:$ZZ, MATCH($B67, Volcado_Dist!$A:$A, 0), MATCH(R$2, Volcado_Dist!$1:$1, 0)) / SUM(INDEX(Volcado_Dist!$A:$ZZ, 0, MATCH(R$2, Volcado_Dist!$1:$1, 0))), 0)</f>
        <v>0</v>
      </c>
      <c r="S67" s="16">
        <f>IFERROR(INDEX(Volcado_Dist!$A:$ZZ, MATCH($B67, Volcado_Dist!$A:$A, 0), MATCH(S$2, Volcado_Dist!$1:$1, 0)) / SUM(INDEX(Volcado_Dist!$A:$ZZ, 0, MATCH(S$2, Volcado_Dist!$1:$1, 0))), 0)</f>
        <v>8.0989558212000079E-4</v>
      </c>
      <c r="T67" s="16">
        <f>IFERROR(INDEX(Volcado_Dist!$A:$ZZ, MATCH($B67, Volcado_Dist!$A:$A, 0), MATCH(T$2, Volcado_Dist!$1:$1, 0)) / SUM(INDEX(Volcado_Dist!$A:$ZZ, 0, MATCH(T$2, Volcado_Dist!$1:$1, 0))), 0)</f>
        <v>5.1959568654577279E-4</v>
      </c>
      <c r="U67" s="16">
        <f>IFERROR(INDEX(Volcado_Dist!$A:$ZZ, MATCH($B67, Volcado_Dist!$A:$A, 0), MATCH(U$2, Volcado_Dist!$1:$1, 0)) / SUM(INDEX(Volcado_Dist!$A:$ZZ, 0, MATCH(U$2, Volcado_Dist!$1:$1, 0))), 0)</f>
        <v>-1.2525706842251657E-2</v>
      </c>
      <c r="V67" s="16">
        <f>IFERROR(INDEX(Volcado_Dist!$A:$ZZ, MATCH($B67, Volcado_Dist!$A:$A, 0), MATCH(V$2, Volcado_Dist!$1:$1, 0)) / SUM(INDEX(Volcado_Dist!$A:$ZZ, 0, MATCH(V$2, Volcado_Dist!$1:$1, 0))), 0)</f>
        <v>4.9844592047726842E-3</v>
      </c>
      <c r="W67" s="16">
        <f t="shared" si="1"/>
        <v>2.6471502724819589E-3</v>
      </c>
      <c r="X67" s="17">
        <f>IFERROR(SUM(_xlfn.XLOOKUP($B67, Volcado_Vend!$A:$A, Volcado_Vend!$C:$ZZ, 0)) / SUM(Volcado_Vend!$C:$ZZ), 0)</f>
        <v>3.919466535611444E-2</v>
      </c>
      <c r="Y67" s="24">
        <f t="shared" ref="Y67:Y128" si="2">AVERAGE(W67:X67)</f>
        <v>2.0920907814298201E-2</v>
      </c>
    </row>
    <row r="68" spans="2:25" x14ac:dyDescent="0.25">
      <c r="B68" s="15" t="s">
        <v>92</v>
      </c>
      <c r="C68" s="16">
        <f>IFERROR(INDEX(Volcado_Dist!$A:$ZZ, MATCH($B68, Volcado_Dist!$A:$A, 0), MATCH(C$2, Volcado_Dist!$1:$1, 0)) / SUM(INDEX(Volcado_Dist!$A:$ZZ, 0, MATCH(C$2, Volcado_Dist!$1:$1, 0))), 0)</f>
        <v>2.6677950325411644E-3</v>
      </c>
      <c r="D68" s="16">
        <f>IFERROR(INDEX(Volcado_Dist!$A:$ZZ, MATCH($B68, Volcado_Dist!$A:$A, 0), MATCH(D$2, Volcado_Dist!$1:$1, 0)) / SUM(INDEX(Volcado_Dist!$A:$ZZ, 0, MATCH(D$2, Volcado_Dist!$1:$1, 0))), 0)</f>
        <v>0</v>
      </c>
      <c r="E68" s="16">
        <f>IFERROR(INDEX(Volcado_Dist!$A:$ZZ, MATCH($B68, Volcado_Dist!$A:$A, 0), MATCH(E$2, Volcado_Dist!$1:$1, 0)) / SUM(INDEX(Volcado_Dist!$A:$ZZ, 0, MATCH(E$2, Volcado_Dist!$1:$1, 0))), 0)</f>
        <v>1.0243765280106518E-2</v>
      </c>
      <c r="F68" s="16">
        <f>IFERROR(INDEX(Volcado_Dist!$A:$ZZ, MATCH($B68, Volcado_Dist!$A:$A, 0), MATCH(F$2, Volcado_Dist!$1:$1, 0)) / SUM(INDEX(Volcado_Dist!$A:$ZZ, 0, MATCH(F$2, Volcado_Dist!$1:$1, 0))), 0)</f>
        <v>8.0035960312204914E-3</v>
      </c>
      <c r="G68" s="16">
        <f>IFERROR(INDEX(Volcado_Dist!$A:$ZZ, MATCH($B68, Volcado_Dist!$A:$A, 0), MATCH(G$2, Volcado_Dist!$1:$1, 0)) / SUM(INDEX(Volcado_Dist!$A:$ZZ, 0, MATCH(G$2, Volcado_Dist!$1:$1, 0))), 0)</f>
        <v>0</v>
      </c>
      <c r="H68" s="16">
        <f>IFERROR(INDEX(Volcado_Dist!$A:$ZZ, MATCH($B68, Volcado_Dist!$A:$A, 0), MATCH(H$2, Volcado_Dist!$1:$1, 0)) / SUM(INDEX(Volcado_Dist!$A:$ZZ, 0, MATCH(H$2, Volcado_Dist!$1:$1, 0))), 0)</f>
        <v>0</v>
      </c>
      <c r="I68" s="16">
        <f>IFERROR(INDEX(Volcado_Dist!$A:$ZZ, MATCH($B68, Volcado_Dist!$A:$A, 0), MATCH(I$2, Volcado_Dist!$1:$1, 0)) / SUM(INDEX(Volcado_Dist!$A:$ZZ, 0, MATCH(I$2, Volcado_Dist!$1:$1, 0))), 0)</f>
        <v>3.8861556850935887E-3</v>
      </c>
      <c r="J68" s="16">
        <f>IFERROR(INDEX(Volcado_Dist!$A:$ZZ, MATCH($B68, Volcado_Dist!$A:$A, 0), MATCH(J$2, Volcado_Dist!$1:$1, 0)) / SUM(INDEX(Volcado_Dist!$A:$ZZ, 0, MATCH(J$2, Volcado_Dist!$1:$1, 0))), 0)</f>
        <v>2.2765294488341619E-3</v>
      </c>
      <c r="K68" s="16">
        <f>IFERROR(INDEX(Volcado_Dist!$A:$ZZ, MATCH($B68, Volcado_Dist!$A:$A, 0), MATCH(K$2, Volcado_Dist!$1:$1, 0)) / SUM(INDEX(Volcado_Dist!$A:$ZZ, 0, MATCH(K$2, Volcado_Dist!$1:$1, 0))), 0)</f>
        <v>3.5288573186765702E-3</v>
      </c>
      <c r="L68" s="16">
        <f>IFERROR(INDEX(Volcado_Dist!$A:$ZZ, MATCH($B68, Volcado_Dist!$A:$A, 0), MATCH(L$2, Volcado_Dist!$1:$1, 0)) / SUM(INDEX(Volcado_Dist!$A:$ZZ, 0, MATCH(L$2, Volcado_Dist!$1:$1, 0))), 0)</f>
        <v>-4.0766060651190273E-7</v>
      </c>
      <c r="M68" s="16">
        <f>IFERROR(INDEX(Volcado_Dist!$A:$ZZ, MATCH($B68, Volcado_Dist!$A:$A, 0), MATCH(M$2, Volcado_Dist!$1:$1, 0)) / SUM(INDEX(Volcado_Dist!$A:$ZZ, 0, MATCH(M$2, Volcado_Dist!$1:$1, 0))), 0)</f>
        <v>9.2733595882018224E-3</v>
      </c>
      <c r="N68" s="16">
        <f>IFERROR(INDEX(Volcado_Dist!$A:$ZZ, MATCH($B68, Volcado_Dist!$A:$A, 0), MATCH(N$2, Volcado_Dist!$1:$1, 0)) / SUM(INDEX(Volcado_Dist!$A:$ZZ, 0, MATCH(N$2, Volcado_Dist!$1:$1, 0))), 0)</f>
        <v>0</v>
      </c>
      <c r="O68" s="16">
        <f>IFERROR(INDEX(Volcado_Dist!$A:$ZZ, MATCH($B68, Volcado_Dist!$A:$A, 0), MATCH(O$2, Volcado_Dist!$1:$1, 0)) / SUM(INDEX(Volcado_Dist!$A:$ZZ, 0, MATCH(O$2, Volcado_Dist!$1:$1, 0))), 0)</f>
        <v>1.8631832007581033E-3</v>
      </c>
      <c r="P68" s="16">
        <f>IFERROR(INDEX(Volcado_Dist!$A:$ZZ, MATCH($B68, Volcado_Dist!$A:$A, 0), MATCH(P$2, Volcado_Dist!$1:$1, 0)) / SUM(INDEX(Volcado_Dist!$A:$ZZ, 0, MATCH(P$2, Volcado_Dist!$1:$1, 0))), 0)</f>
        <v>2.5699776352879288E-3</v>
      </c>
      <c r="Q68" s="16">
        <f>IFERROR(INDEX(Volcado_Dist!$A:$ZZ, MATCH($B68, Volcado_Dist!$A:$A, 0), MATCH(Q$2, Volcado_Dist!$1:$1, 0)) / SUM(INDEX(Volcado_Dist!$A:$ZZ, 0, MATCH(Q$2, Volcado_Dist!$1:$1, 0))), 0)</f>
        <v>5.6749259749959043E-3</v>
      </c>
      <c r="R68" s="16">
        <f>IFERROR(INDEX(Volcado_Dist!$A:$ZZ, MATCH($B68, Volcado_Dist!$A:$A, 0), MATCH(R$2, Volcado_Dist!$1:$1, 0)) / SUM(INDEX(Volcado_Dist!$A:$ZZ, 0, MATCH(R$2, Volcado_Dist!$1:$1, 0))), 0)</f>
        <v>0</v>
      </c>
      <c r="S68" s="16">
        <f>IFERROR(INDEX(Volcado_Dist!$A:$ZZ, MATCH($B68, Volcado_Dist!$A:$A, 0), MATCH(S$2, Volcado_Dist!$1:$1, 0)) / SUM(INDEX(Volcado_Dist!$A:$ZZ, 0, MATCH(S$2, Volcado_Dist!$1:$1, 0))), 0)</f>
        <v>2.3894234949166666E-3</v>
      </c>
      <c r="T68" s="16">
        <f>IFERROR(INDEX(Volcado_Dist!$A:$ZZ, MATCH($B68, Volcado_Dist!$A:$A, 0), MATCH(T$2, Volcado_Dist!$1:$1, 0)) / SUM(INDEX(Volcado_Dist!$A:$ZZ, 0, MATCH(T$2, Volcado_Dist!$1:$1, 0))), 0)</f>
        <v>3.2094021237980622E-3</v>
      </c>
      <c r="U68" s="16">
        <f>IFERROR(INDEX(Volcado_Dist!$A:$ZZ, MATCH($B68, Volcado_Dist!$A:$A, 0), MATCH(U$2, Volcado_Dist!$1:$1, 0)) / SUM(INDEX(Volcado_Dist!$A:$ZZ, 0, MATCH(U$2, Volcado_Dist!$1:$1, 0))), 0)</f>
        <v>5.4924289305915053E-4</v>
      </c>
      <c r="V68" s="16">
        <f>IFERROR(INDEX(Volcado_Dist!$A:$ZZ, MATCH($B68, Volcado_Dist!$A:$A, 0), MATCH(V$2, Volcado_Dist!$1:$1, 0)) / SUM(INDEX(Volcado_Dist!$A:$ZZ, 0, MATCH(V$2, Volcado_Dist!$1:$1, 0))), 0)</f>
        <v>7.9337737748725896E-3</v>
      </c>
      <c r="W68" s="16">
        <f t="shared" ref="W68:W128" si="3">AVERAGE(C68:V68)</f>
        <v>3.2034789910878104E-3</v>
      </c>
      <c r="X68" s="17">
        <f>IFERROR(SUM(_xlfn.XLOOKUP($B68, Volcado_Vend!$A:$A, Volcado_Vend!$C:$ZZ, 0)) / SUM(Volcado_Vend!$C:$ZZ), 0)</f>
        <v>3.6022161594675369E-3</v>
      </c>
      <c r="Y68" s="24">
        <f t="shared" si="2"/>
        <v>3.4028475752776737E-3</v>
      </c>
    </row>
    <row r="69" spans="2:25" x14ac:dyDescent="0.25">
      <c r="B69" s="15" t="s">
        <v>93</v>
      </c>
      <c r="C69" s="16">
        <f>IFERROR(INDEX(Volcado_Dist!$A:$ZZ, MATCH($B69, Volcado_Dist!$A:$A, 0), MATCH(C$2, Volcado_Dist!$1:$1, 0)) / SUM(INDEX(Volcado_Dist!$A:$ZZ, 0, MATCH(C$2, Volcado_Dist!$1:$1, 0))), 0)</f>
        <v>2.1913737869603326E-2</v>
      </c>
      <c r="D69" s="16">
        <f>IFERROR(INDEX(Volcado_Dist!$A:$ZZ, MATCH($B69, Volcado_Dist!$A:$A, 0), MATCH(D$2, Volcado_Dist!$1:$1, 0)) / SUM(INDEX(Volcado_Dist!$A:$ZZ, 0, MATCH(D$2, Volcado_Dist!$1:$1, 0))), 0)</f>
        <v>0</v>
      </c>
      <c r="E69" s="16">
        <f>IFERROR(INDEX(Volcado_Dist!$A:$ZZ, MATCH($B69, Volcado_Dist!$A:$A, 0), MATCH(E$2, Volcado_Dist!$1:$1, 0)) / SUM(INDEX(Volcado_Dist!$A:$ZZ, 0, MATCH(E$2, Volcado_Dist!$1:$1, 0))), 0)</f>
        <v>5.0235754572810687E-3</v>
      </c>
      <c r="F69" s="16">
        <f>IFERROR(INDEX(Volcado_Dist!$A:$ZZ, MATCH($B69, Volcado_Dist!$A:$A, 0), MATCH(F$2, Volcado_Dist!$1:$1, 0)) / SUM(INDEX(Volcado_Dist!$A:$ZZ, 0, MATCH(F$2, Volcado_Dist!$1:$1, 0))), 0)</f>
        <v>1.4443890340545133E-2</v>
      </c>
      <c r="G69" s="16">
        <f>IFERROR(INDEX(Volcado_Dist!$A:$ZZ, MATCH($B69, Volcado_Dist!$A:$A, 0), MATCH(G$2, Volcado_Dist!$1:$1, 0)) / SUM(INDEX(Volcado_Dist!$A:$ZZ, 0, MATCH(G$2, Volcado_Dist!$1:$1, 0))), 0)</f>
        <v>0</v>
      </c>
      <c r="H69" s="16">
        <f>IFERROR(INDEX(Volcado_Dist!$A:$ZZ, MATCH($B69, Volcado_Dist!$A:$A, 0), MATCH(H$2, Volcado_Dist!$1:$1, 0)) / SUM(INDEX(Volcado_Dist!$A:$ZZ, 0, MATCH(H$2, Volcado_Dist!$1:$1, 0))), 0)</f>
        <v>0</v>
      </c>
      <c r="I69" s="16">
        <f>IFERROR(INDEX(Volcado_Dist!$A:$ZZ, MATCH($B69, Volcado_Dist!$A:$A, 0), MATCH(I$2, Volcado_Dist!$1:$1, 0)) / SUM(INDEX(Volcado_Dist!$A:$ZZ, 0, MATCH(I$2, Volcado_Dist!$1:$1, 0))), 0)</f>
        <v>1.8551513632847089E-2</v>
      </c>
      <c r="J69" s="16">
        <f>IFERROR(INDEX(Volcado_Dist!$A:$ZZ, MATCH($B69, Volcado_Dist!$A:$A, 0), MATCH(J$2, Volcado_Dist!$1:$1, 0)) / SUM(INDEX(Volcado_Dist!$A:$ZZ, 0, MATCH(J$2, Volcado_Dist!$1:$1, 0))), 0)</f>
        <v>0</v>
      </c>
      <c r="K69" s="16">
        <f>IFERROR(INDEX(Volcado_Dist!$A:$ZZ, MATCH($B69, Volcado_Dist!$A:$A, 0), MATCH(K$2, Volcado_Dist!$1:$1, 0)) / SUM(INDEX(Volcado_Dist!$A:$ZZ, 0, MATCH(K$2, Volcado_Dist!$1:$1, 0))), 0)</f>
        <v>1.7010403277567532E-2</v>
      </c>
      <c r="L69" s="16">
        <f>IFERROR(INDEX(Volcado_Dist!$A:$ZZ, MATCH($B69, Volcado_Dist!$A:$A, 0), MATCH(L$2, Volcado_Dist!$1:$1, 0)) / SUM(INDEX(Volcado_Dist!$A:$ZZ, 0, MATCH(L$2, Volcado_Dist!$1:$1, 0))), 0)</f>
        <v>8.2645277150950099E-3</v>
      </c>
      <c r="M69" s="16">
        <f>IFERROR(INDEX(Volcado_Dist!$A:$ZZ, MATCH($B69, Volcado_Dist!$A:$A, 0), MATCH(M$2, Volcado_Dist!$1:$1, 0)) / SUM(INDEX(Volcado_Dist!$A:$ZZ, 0, MATCH(M$2, Volcado_Dist!$1:$1, 0))), 0)</f>
        <v>1.1810615582166536E-3</v>
      </c>
      <c r="N69" s="16">
        <f>IFERROR(INDEX(Volcado_Dist!$A:$ZZ, MATCH($B69, Volcado_Dist!$A:$A, 0), MATCH(N$2, Volcado_Dist!$1:$1, 0)) / SUM(INDEX(Volcado_Dist!$A:$ZZ, 0, MATCH(N$2, Volcado_Dist!$1:$1, 0))), 0)</f>
        <v>0</v>
      </c>
      <c r="O69" s="16">
        <f>IFERROR(INDEX(Volcado_Dist!$A:$ZZ, MATCH($B69, Volcado_Dist!$A:$A, 0), MATCH(O$2, Volcado_Dist!$1:$1, 0)) / SUM(INDEX(Volcado_Dist!$A:$ZZ, 0, MATCH(O$2, Volcado_Dist!$1:$1, 0))), 0)</f>
        <v>3.1057249704528663E-3</v>
      </c>
      <c r="P69" s="16">
        <f>IFERROR(INDEX(Volcado_Dist!$A:$ZZ, MATCH($B69, Volcado_Dist!$A:$A, 0), MATCH(P$2, Volcado_Dist!$1:$1, 0)) / SUM(INDEX(Volcado_Dist!$A:$ZZ, 0, MATCH(P$2, Volcado_Dist!$1:$1, 0))), 0)</f>
        <v>1.4695721632601664E-2</v>
      </c>
      <c r="Q69" s="16">
        <f>IFERROR(INDEX(Volcado_Dist!$A:$ZZ, MATCH($B69, Volcado_Dist!$A:$A, 0), MATCH(Q$2, Volcado_Dist!$1:$1, 0)) / SUM(INDEX(Volcado_Dist!$A:$ZZ, 0, MATCH(Q$2, Volcado_Dist!$1:$1, 0))), 0)</f>
        <v>3.4867899549428081E-3</v>
      </c>
      <c r="R69" s="16">
        <f>IFERROR(INDEX(Volcado_Dist!$A:$ZZ, MATCH($B69, Volcado_Dist!$A:$A, 0), MATCH(R$2, Volcado_Dist!$1:$1, 0)) / SUM(INDEX(Volcado_Dist!$A:$ZZ, 0, MATCH(R$2, Volcado_Dist!$1:$1, 0))), 0)</f>
        <v>3.1409359584681886E-3</v>
      </c>
      <c r="S69" s="16">
        <f>IFERROR(INDEX(Volcado_Dist!$A:$ZZ, MATCH($B69, Volcado_Dist!$A:$A, 0), MATCH(S$2, Volcado_Dist!$1:$1, 0)) / SUM(INDEX(Volcado_Dist!$A:$ZZ, 0, MATCH(S$2, Volcado_Dist!$1:$1, 0))), 0)</f>
        <v>4.9223286038531334E-3</v>
      </c>
      <c r="T69" s="16">
        <f>IFERROR(INDEX(Volcado_Dist!$A:$ZZ, MATCH($B69, Volcado_Dist!$A:$A, 0), MATCH(T$2, Volcado_Dist!$1:$1, 0)) / SUM(INDEX(Volcado_Dist!$A:$ZZ, 0, MATCH(T$2, Volcado_Dist!$1:$1, 0))), 0)</f>
        <v>2.8667706087914914E-3</v>
      </c>
      <c r="U69" s="16">
        <f>IFERROR(INDEX(Volcado_Dist!$A:$ZZ, MATCH($B69, Volcado_Dist!$A:$A, 0), MATCH(U$2, Volcado_Dist!$1:$1, 0)) / SUM(INDEX(Volcado_Dist!$A:$ZZ, 0, MATCH(U$2, Volcado_Dist!$1:$1, 0))), 0)</f>
        <v>1.075031630144424E-2</v>
      </c>
      <c r="V69" s="16">
        <f>IFERROR(INDEX(Volcado_Dist!$A:$ZZ, MATCH($B69, Volcado_Dist!$A:$A, 0), MATCH(V$2, Volcado_Dist!$1:$1, 0)) / SUM(INDEX(Volcado_Dist!$A:$ZZ, 0, MATCH(V$2, Volcado_Dist!$1:$1, 0))), 0)</f>
        <v>2.1917945498939374E-2</v>
      </c>
      <c r="W69" s="16">
        <f t="shared" si="3"/>
        <v>7.5637621690324789E-3</v>
      </c>
      <c r="X69" s="17">
        <f>IFERROR(SUM(_xlfn.XLOOKUP($B69, Volcado_Vend!$A:$A, Volcado_Vend!$C:$ZZ, 0)) / SUM(Volcado_Vend!$C:$ZZ), 0)</f>
        <v>1.024302176849539E-2</v>
      </c>
      <c r="Y69" s="24">
        <f t="shared" si="2"/>
        <v>8.9033919687639337E-3</v>
      </c>
    </row>
    <row r="70" spans="2:25" x14ac:dyDescent="0.25">
      <c r="B70" s="15" t="s">
        <v>94</v>
      </c>
      <c r="C70" s="16">
        <f>IFERROR(INDEX(Volcado_Dist!$A:$ZZ, MATCH($B70, Volcado_Dist!$A:$A, 0), MATCH(C$2, Volcado_Dist!$1:$1, 0)) / SUM(INDEX(Volcado_Dist!$A:$ZZ, 0, MATCH(C$2, Volcado_Dist!$1:$1, 0))), 0)</f>
        <v>2.112625395881062E-4</v>
      </c>
      <c r="D70" s="16">
        <f>IFERROR(INDEX(Volcado_Dist!$A:$ZZ, MATCH($B70, Volcado_Dist!$A:$A, 0), MATCH(D$2, Volcado_Dist!$1:$1, 0)) / SUM(INDEX(Volcado_Dist!$A:$ZZ, 0, MATCH(D$2, Volcado_Dist!$1:$1, 0))), 0)</f>
        <v>0</v>
      </c>
      <c r="E70" s="16">
        <f>IFERROR(INDEX(Volcado_Dist!$A:$ZZ, MATCH($B70, Volcado_Dist!$A:$A, 0), MATCH(E$2, Volcado_Dist!$1:$1, 0)) / SUM(INDEX(Volcado_Dist!$A:$ZZ, 0, MATCH(E$2, Volcado_Dist!$1:$1, 0))), 0)</f>
        <v>0</v>
      </c>
      <c r="F70" s="16">
        <f>IFERROR(INDEX(Volcado_Dist!$A:$ZZ, MATCH($B70, Volcado_Dist!$A:$A, 0), MATCH(F$2, Volcado_Dist!$1:$1, 0)) / SUM(INDEX(Volcado_Dist!$A:$ZZ, 0, MATCH(F$2, Volcado_Dist!$1:$1, 0))), 0)</f>
        <v>0</v>
      </c>
      <c r="G70" s="16">
        <f>IFERROR(INDEX(Volcado_Dist!$A:$ZZ, MATCH($B70, Volcado_Dist!$A:$A, 0), MATCH(G$2, Volcado_Dist!$1:$1, 0)) / SUM(INDEX(Volcado_Dist!$A:$ZZ, 0, MATCH(G$2, Volcado_Dist!$1:$1, 0))), 0)</f>
        <v>0</v>
      </c>
      <c r="H70" s="16">
        <f>IFERROR(INDEX(Volcado_Dist!$A:$ZZ, MATCH($B70, Volcado_Dist!$A:$A, 0), MATCH(H$2, Volcado_Dist!$1:$1, 0)) / SUM(INDEX(Volcado_Dist!$A:$ZZ, 0, MATCH(H$2, Volcado_Dist!$1:$1, 0))), 0)</f>
        <v>0</v>
      </c>
      <c r="I70" s="16">
        <f>IFERROR(INDEX(Volcado_Dist!$A:$ZZ, MATCH($B70, Volcado_Dist!$A:$A, 0), MATCH(I$2, Volcado_Dist!$1:$1, 0)) / SUM(INDEX(Volcado_Dist!$A:$ZZ, 0, MATCH(I$2, Volcado_Dist!$1:$1, 0))), 0)</f>
        <v>3.9324938045760174E-3</v>
      </c>
      <c r="J70" s="16">
        <f>IFERROR(INDEX(Volcado_Dist!$A:$ZZ, MATCH($B70, Volcado_Dist!$A:$A, 0), MATCH(J$2, Volcado_Dist!$1:$1, 0)) / SUM(INDEX(Volcado_Dist!$A:$ZZ, 0, MATCH(J$2, Volcado_Dist!$1:$1, 0))), 0)</f>
        <v>0</v>
      </c>
      <c r="K70" s="16">
        <f>IFERROR(INDEX(Volcado_Dist!$A:$ZZ, MATCH($B70, Volcado_Dist!$A:$A, 0), MATCH(K$2, Volcado_Dist!$1:$1, 0)) / SUM(INDEX(Volcado_Dist!$A:$ZZ, 0, MATCH(K$2, Volcado_Dist!$1:$1, 0))), 0)</f>
        <v>5.6949712843665506E-4</v>
      </c>
      <c r="L70" s="16">
        <f>IFERROR(INDEX(Volcado_Dist!$A:$ZZ, MATCH($B70, Volcado_Dist!$A:$A, 0), MATCH(L$2, Volcado_Dist!$1:$1, 0)) / SUM(INDEX(Volcado_Dist!$A:$ZZ, 0, MATCH(L$2, Volcado_Dist!$1:$1, 0))), 0)</f>
        <v>2.3089367895830844E-3</v>
      </c>
      <c r="M70" s="16">
        <f>IFERROR(INDEX(Volcado_Dist!$A:$ZZ, MATCH($B70, Volcado_Dist!$A:$A, 0), MATCH(M$2, Volcado_Dist!$1:$1, 0)) / SUM(INDEX(Volcado_Dist!$A:$ZZ, 0, MATCH(M$2, Volcado_Dist!$1:$1, 0))), 0)</f>
        <v>0</v>
      </c>
      <c r="N70" s="16">
        <f>IFERROR(INDEX(Volcado_Dist!$A:$ZZ, MATCH($B70, Volcado_Dist!$A:$A, 0), MATCH(N$2, Volcado_Dist!$1:$1, 0)) / SUM(INDEX(Volcado_Dist!$A:$ZZ, 0, MATCH(N$2, Volcado_Dist!$1:$1, 0))), 0)</f>
        <v>0</v>
      </c>
      <c r="O70" s="16">
        <f>IFERROR(INDEX(Volcado_Dist!$A:$ZZ, MATCH($B70, Volcado_Dist!$A:$A, 0), MATCH(O$2, Volcado_Dist!$1:$1, 0)) / SUM(INDEX(Volcado_Dist!$A:$ZZ, 0, MATCH(O$2, Volcado_Dist!$1:$1, 0))), 0)</f>
        <v>0</v>
      </c>
      <c r="P70" s="16">
        <f>IFERROR(INDEX(Volcado_Dist!$A:$ZZ, MATCH($B70, Volcado_Dist!$A:$A, 0), MATCH(P$2, Volcado_Dist!$1:$1, 0)) / SUM(INDEX(Volcado_Dist!$A:$ZZ, 0, MATCH(P$2, Volcado_Dist!$1:$1, 0))), 0)</f>
        <v>0</v>
      </c>
      <c r="Q70" s="16">
        <f>IFERROR(INDEX(Volcado_Dist!$A:$ZZ, MATCH($B70, Volcado_Dist!$A:$A, 0), MATCH(Q$2, Volcado_Dist!$1:$1, 0)) / SUM(INDEX(Volcado_Dist!$A:$ZZ, 0, MATCH(Q$2, Volcado_Dist!$1:$1, 0))), 0)</f>
        <v>0</v>
      </c>
      <c r="R70" s="16">
        <f>IFERROR(INDEX(Volcado_Dist!$A:$ZZ, MATCH($B70, Volcado_Dist!$A:$A, 0), MATCH(R$2, Volcado_Dist!$1:$1, 0)) / SUM(INDEX(Volcado_Dist!$A:$ZZ, 0, MATCH(R$2, Volcado_Dist!$1:$1, 0))), 0)</f>
        <v>0</v>
      </c>
      <c r="S70" s="16">
        <f>IFERROR(INDEX(Volcado_Dist!$A:$ZZ, MATCH($B70, Volcado_Dist!$A:$A, 0), MATCH(S$2, Volcado_Dist!$1:$1, 0)) / SUM(INDEX(Volcado_Dist!$A:$ZZ, 0, MATCH(S$2, Volcado_Dist!$1:$1, 0))), 0)</f>
        <v>0</v>
      </c>
      <c r="T70" s="16">
        <f>IFERROR(INDEX(Volcado_Dist!$A:$ZZ, MATCH($B70, Volcado_Dist!$A:$A, 0), MATCH(T$2, Volcado_Dist!$1:$1, 0)) / SUM(INDEX(Volcado_Dist!$A:$ZZ, 0, MATCH(T$2, Volcado_Dist!$1:$1, 0))), 0)</f>
        <v>4.448302952310558E-3</v>
      </c>
      <c r="U70" s="16">
        <f>IFERROR(INDEX(Volcado_Dist!$A:$ZZ, MATCH($B70, Volcado_Dist!$A:$A, 0), MATCH(U$2, Volcado_Dist!$1:$1, 0)) / SUM(INDEX(Volcado_Dist!$A:$ZZ, 0, MATCH(U$2, Volcado_Dist!$1:$1, 0))), 0)</f>
        <v>0</v>
      </c>
      <c r="V70" s="16">
        <f>IFERROR(INDEX(Volcado_Dist!$A:$ZZ, MATCH($B70, Volcado_Dist!$A:$A, 0), MATCH(V$2, Volcado_Dist!$1:$1, 0)) / SUM(INDEX(Volcado_Dist!$A:$ZZ, 0, MATCH(V$2, Volcado_Dist!$1:$1, 0))), 0)</f>
        <v>0</v>
      </c>
      <c r="W70" s="16">
        <f t="shared" si="3"/>
        <v>5.7352466072472098E-4</v>
      </c>
      <c r="X70" s="17">
        <f>IFERROR(SUM(_xlfn.XLOOKUP($B70, Volcado_Vend!$A:$A, Volcado_Vend!$C:$ZZ, 0)) / SUM(Volcado_Vend!$C:$ZZ), 0)</f>
        <v>1.806453311742561E-3</v>
      </c>
      <c r="Y70" s="24">
        <f t="shared" si="2"/>
        <v>1.1899889862336411E-3</v>
      </c>
    </row>
    <row r="71" spans="2:25" x14ac:dyDescent="0.25">
      <c r="B71" s="15" t="s">
        <v>95</v>
      </c>
      <c r="C71" s="16">
        <f>IFERROR(INDEX(Volcado_Dist!$A:$ZZ, MATCH($B71, Volcado_Dist!$A:$A, 0), MATCH(C$2, Volcado_Dist!$1:$1, 0)) / SUM(INDEX(Volcado_Dist!$A:$ZZ, 0, MATCH(C$2, Volcado_Dist!$1:$1, 0))), 0)</f>
        <v>0</v>
      </c>
      <c r="D71" s="16">
        <f>IFERROR(INDEX(Volcado_Dist!$A:$ZZ, MATCH($B71, Volcado_Dist!$A:$A, 0), MATCH(D$2, Volcado_Dist!$1:$1, 0)) / SUM(INDEX(Volcado_Dist!$A:$ZZ, 0, MATCH(D$2, Volcado_Dist!$1:$1, 0))), 0)</f>
        <v>0</v>
      </c>
      <c r="E71" s="16">
        <f>IFERROR(INDEX(Volcado_Dist!$A:$ZZ, MATCH($B71, Volcado_Dist!$A:$A, 0), MATCH(E$2, Volcado_Dist!$1:$1, 0)) / SUM(INDEX(Volcado_Dist!$A:$ZZ, 0, MATCH(E$2, Volcado_Dist!$1:$1, 0))), 0)</f>
        <v>-2.6632050282838471E-3</v>
      </c>
      <c r="F71" s="16">
        <f>IFERROR(INDEX(Volcado_Dist!$A:$ZZ, MATCH($B71, Volcado_Dist!$A:$A, 0), MATCH(F$2, Volcado_Dist!$1:$1, 0)) / SUM(INDEX(Volcado_Dist!$A:$ZZ, 0, MATCH(F$2, Volcado_Dist!$1:$1, 0))), 0)</f>
        <v>-1.2757591179109946E-4</v>
      </c>
      <c r="G71" s="16">
        <f>IFERROR(INDEX(Volcado_Dist!$A:$ZZ, MATCH($B71, Volcado_Dist!$A:$A, 0), MATCH(G$2, Volcado_Dist!$1:$1, 0)) / SUM(INDEX(Volcado_Dist!$A:$ZZ, 0, MATCH(G$2, Volcado_Dist!$1:$1, 0))), 0)</f>
        <v>0</v>
      </c>
      <c r="H71" s="16">
        <f>IFERROR(INDEX(Volcado_Dist!$A:$ZZ, MATCH($B71, Volcado_Dist!$A:$A, 0), MATCH(H$2, Volcado_Dist!$1:$1, 0)) / SUM(INDEX(Volcado_Dist!$A:$ZZ, 0, MATCH(H$2, Volcado_Dist!$1:$1, 0))), 0)</f>
        <v>0</v>
      </c>
      <c r="I71" s="16">
        <f>IFERROR(INDEX(Volcado_Dist!$A:$ZZ, MATCH($B71, Volcado_Dist!$A:$A, 0), MATCH(I$2, Volcado_Dist!$1:$1, 0)) / SUM(INDEX(Volcado_Dist!$A:$ZZ, 0, MATCH(I$2, Volcado_Dist!$1:$1, 0))), 0)</f>
        <v>-4.4739164030421221E-4</v>
      </c>
      <c r="J71" s="16">
        <f>IFERROR(INDEX(Volcado_Dist!$A:$ZZ, MATCH($B71, Volcado_Dist!$A:$A, 0), MATCH(J$2, Volcado_Dist!$1:$1, 0)) / SUM(INDEX(Volcado_Dist!$A:$ZZ, 0, MATCH(J$2, Volcado_Dist!$1:$1, 0))), 0)</f>
        <v>0</v>
      </c>
      <c r="K71" s="16">
        <f>IFERROR(INDEX(Volcado_Dist!$A:$ZZ, MATCH($B71, Volcado_Dist!$A:$A, 0), MATCH(K$2, Volcado_Dist!$1:$1, 0)) / SUM(INDEX(Volcado_Dist!$A:$ZZ, 0, MATCH(K$2, Volcado_Dist!$1:$1, 0))), 0)</f>
        <v>-1.2476817668762873E-3</v>
      </c>
      <c r="L71" s="16">
        <f>IFERROR(INDEX(Volcado_Dist!$A:$ZZ, MATCH($B71, Volcado_Dist!$A:$A, 0), MATCH(L$2, Volcado_Dist!$1:$1, 0)) / SUM(INDEX(Volcado_Dist!$A:$ZZ, 0, MATCH(L$2, Volcado_Dist!$1:$1, 0))), 0)</f>
        <v>0</v>
      </c>
      <c r="M71" s="16">
        <f>IFERROR(INDEX(Volcado_Dist!$A:$ZZ, MATCH($B71, Volcado_Dist!$A:$A, 0), MATCH(M$2, Volcado_Dist!$1:$1, 0)) / SUM(INDEX(Volcado_Dist!$A:$ZZ, 0, MATCH(M$2, Volcado_Dist!$1:$1, 0))), 0)</f>
        <v>-1.0670026538405907E-3</v>
      </c>
      <c r="N71" s="16">
        <f>IFERROR(INDEX(Volcado_Dist!$A:$ZZ, MATCH($B71, Volcado_Dist!$A:$A, 0), MATCH(N$2, Volcado_Dist!$1:$1, 0)) / SUM(INDEX(Volcado_Dist!$A:$ZZ, 0, MATCH(N$2, Volcado_Dist!$1:$1, 0))), 0)</f>
        <v>0</v>
      </c>
      <c r="O71" s="16">
        <f>IFERROR(INDEX(Volcado_Dist!$A:$ZZ, MATCH($B71, Volcado_Dist!$A:$A, 0), MATCH(O$2, Volcado_Dist!$1:$1, 0)) / SUM(INDEX(Volcado_Dist!$A:$ZZ, 0, MATCH(O$2, Volcado_Dist!$1:$1, 0))), 0)</f>
        <v>0</v>
      </c>
      <c r="P71" s="16">
        <f>IFERROR(INDEX(Volcado_Dist!$A:$ZZ, MATCH($B71, Volcado_Dist!$A:$A, 0), MATCH(P$2, Volcado_Dist!$1:$1, 0)) / SUM(INDEX(Volcado_Dist!$A:$ZZ, 0, MATCH(P$2, Volcado_Dist!$1:$1, 0))), 0)</f>
        <v>0</v>
      </c>
      <c r="Q71" s="16">
        <f>IFERROR(INDEX(Volcado_Dist!$A:$ZZ, MATCH($B71, Volcado_Dist!$A:$A, 0), MATCH(Q$2, Volcado_Dist!$1:$1, 0)) / SUM(INDEX(Volcado_Dist!$A:$ZZ, 0, MATCH(Q$2, Volcado_Dist!$1:$1, 0))), 0)</f>
        <v>0</v>
      </c>
      <c r="R71" s="16">
        <f>IFERROR(INDEX(Volcado_Dist!$A:$ZZ, MATCH($B71, Volcado_Dist!$A:$A, 0), MATCH(R$2, Volcado_Dist!$1:$1, 0)) / SUM(INDEX(Volcado_Dist!$A:$ZZ, 0, MATCH(R$2, Volcado_Dist!$1:$1, 0))), 0)</f>
        <v>0</v>
      </c>
      <c r="S71" s="16">
        <f>IFERROR(INDEX(Volcado_Dist!$A:$ZZ, MATCH($B71, Volcado_Dist!$A:$A, 0), MATCH(S$2, Volcado_Dist!$1:$1, 0)) / SUM(INDEX(Volcado_Dist!$A:$ZZ, 0, MATCH(S$2, Volcado_Dist!$1:$1, 0))), 0)</f>
        <v>0</v>
      </c>
      <c r="T71" s="16">
        <f>IFERROR(INDEX(Volcado_Dist!$A:$ZZ, MATCH($B71, Volcado_Dist!$A:$A, 0), MATCH(T$2, Volcado_Dist!$1:$1, 0)) / SUM(INDEX(Volcado_Dist!$A:$ZZ, 0, MATCH(T$2, Volcado_Dist!$1:$1, 0))), 0)</f>
        <v>0</v>
      </c>
      <c r="U71" s="16">
        <f>IFERROR(INDEX(Volcado_Dist!$A:$ZZ, MATCH($B71, Volcado_Dist!$A:$A, 0), MATCH(U$2, Volcado_Dist!$1:$1, 0)) / SUM(INDEX(Volcado_Dist!$A:$ZZ, 0, MATCH(U$2, Volcado_Dist!$1:$1, 0))), 0)</f>
        <v>0</v>
      </c>
      <c r="V71" s="16">
        <f>IFERROR(INDEX(Volcado_Dist!$A:$ZZ, MATCH($B71, Volcado_Dist!$A:$A, 0), MATCH(V$2, Volcado_Dist!$1:$1, 0)) / SUM(INDEX(Volcado_Dist!$A:$ZZ, 0, MATCH(V$2, Volcado_Dist!$1:$1, 0))), 0)</f>
        <v>0</v>
      </c>
      <c r="W71" s="16">
        <f t="shared" si="3"/>
        <v>-2.7764285005480181E-4</v>
      </c>
      <c r="X71" s="17">
        <f>IFERROR(SUM(_xlfn.XLOOKUP($B71, Volcado_Vend!$A:$A, Volcado_Vend!$C:$ZZ, 0)) / SUM(Volcado_Vend!$C:$ZZ), 0)</f>
        <v>-5.9800215280775022E-5</v>
      </c>
      <c r="Y71" s="24">
        <f t="shared" si="2"/>
        <v>-1.6872153266778842E-4</v>
      </c>
    </row>
    <row r="72" spans="2:25" x14ac:dyDescent="0.25">
      <c r="B72" s="15" t="s">
        <v>96</v>
      </c>
      <c r="C72" s="16">
        <f>IFERROR(INDEX(Volcado_Dist!$A:$ZZ, MATCH($B72, Volcado_Dist!$A:$A, 0), MATCH(C$2, Volcado_Dist!$1:$1, 0)) / SUM(INDEX(Volcado_Dist!$A:$ZZ, 0, MATCH(C$2, Volcado_Dist!$1:$1, 0))), 0)</f>
        <v>0</v>
      </c>
      <c r="D72" s="16">
        <f>IFERROR(INDEX(Volcado_Dist!$A:$ZZ, MATCH($B72, Volcado_Dist!$A:$A, 0), MATCH(D$2, Volcado_Dist!$1:$1, 0)) / SUM(INDEX(Volcado_Dist!$A:$ZZ, 0, MATCH(D$2, Volcado_Dist!$1:$1, 0))), 0)</f>
        <v>0</v>
      </c>
      <c r="E72" s="16">
        <f>IFERROR(INDEX(Volcado_Dist!$A:$ZZ, MATCH($B72, Volcado_Dist!$A:$A, 0), MATCH(E$2, Volcado_Dist!$1:$1, 0)) / SUM(INDEX(Volcado_Dist!$A:$ZZ, 0, MATCH(E$2, Volcado_Dist!$1:$1, 0))), 0)</f>
        <v>0</v>
      </c>
      <c r="F72" s="16">
        <f>IFERROR(INDEX(Volcado_Dist!$A:$ZZ, MATCH($B72, Volcado_Dist!$A:$A, 0), MATCH(F$2, Volcado_Dist!$1:$1, 0)) / SUM(INDEX(Volcado_Dist!$A:$ZZ, 0, MATCH(F$2, Volcado_Dist!$1:$1, 0))), 0)</f>
        <v>-1.7256920211028182E-4</v>
      </c>
      <c r="G72" s="16">
        <f>IFERROR(INDEX(Volcado_Dist!$A:$ZZ, MATCH($B72, Volcado_Dist!$A:$A, 0), MATCH(G$2, Volcado_Dist!$1:$1, 0)) / SUM(INDEX(Volcado_Dist!$A:$ZZ, 0, MATCH(G$2, Volcado_Dist!$1:$1, 0))), 0)</f>
        <v>0</v>
      </c>
      <c r="H72" s="16">
        <f>IFERROR(INDEX(Volcado_Dist!$A:$ZZ, MATCH($B72, Volcado_Dist!$A:$A, 0), MATCH(H$2, Volcado_Dist!$1:$1, 0)) / SUM(INDEX(Volcado_Dist!$A:$ZZ, 0, MATCH(H$2, Volcado_Dist!$1:$1, 0))), 0)</f>
        <v>0</v>
      </c>
      <c r="I72" s="16">
        <f>IFERROR(INDEX(Volcado_Dist!$A:$ZZ, MATCH($B72, Volcado_Dist!$A:$A, 0), MATCH(I$2, Volcado_Dist!$1:$1, 0)) / SUM(INDEX(Volcado_Dist!$A:$ZZ, 0, MATCH(I$2, Volcado_Dist!$1:$1, 0))), 0)</f>
        <v>-4.3115250801230163E-4</v>
      </c>
      <c r="J72" s="16">
        <f>IFERROR(INDEX(Volcado_Dist!$A:$ZZ, MATCH($B72, Volcado_Dist!$A:$A, 0), MATCH(J$2, Volcado_Dist!$1:$1, 0)) / SUM(INDEX(Volcado_Dist!$A:$ZZ, 0, MATCH(J$2, Volcado_Dist!$1:$1, 0))), 0)</f>
        <v>0</v>
      </c>
      <c r="K72" s="16">
        <f>IFERROR(INDEX(Volcado_Dist!$A:$ZZ, MATCH($B72, Volcado_Dist!$A:$A, 0), MATCH(K$2, Volcado_Dist!$1:$1, 0)) / SUM(INDEX(Volcado_Dist!$A:$ZZ, 0, MATCH(K$2, Volcado_Dist!$1:$1, 0))), 0)</f>
        <v>4.5490762332073362E-4</v>
      </c>
      <c r="L72" s="16">
        <f>IFERROR(INDEX(Volcado_Dist!$A:$ZZ, MATCH($B72, Volcado_Dist!$A:$A, 0), MATCH(L$2, Volcado_Dist!$1:$1, 0)) / SUM(INDEX(Volcado_Dist!$A:$ZZ, 0, MATCH(L$2, Volcado_Dist!$1:$1, 0))), 0)</f>
        <v>0</v>
      </c>
      <c r="M72" s="16">
        <f>IFERROR(INDEX(Volcado_Dist!$A:$ZZ, MATCH($B72, Volcado_Dist!$A:$A, 0), MATCH(M$2, Volcado_Dist!$1:$1, 0)) / SUM(INDEX(Volcado_Dist!$A:$ZZ, 0, MATCH(M$2, Volcado_Dist!$1:$1, 0))), 0)</f>
        <v>0</v>
      </c>
      <c r="N72" s="16">
        <f>IFERROR(INDEX(Volcado_Dist!$A:$ZZ, MATCH($B72, Volcado_Dist!$A:$A, 0), MATCH(N$2, Volcado_Dist!$1:$1, 0)) / SUM(INDEX(Volcado_Dist!$A:$ZZ, 0, MATCH(N$2, Volcado_Dist!$1:$1, 0))), 0)</f>
        <v>0</v>
      </c>
      <c r="O72" s="16">
        <f>IFERROR(INDEX(Volcado_Dist!$A:$ZZ, MATCH($B72, Volcado_Dist!$A:$A, 0), MATCH(O$2, Volcado_Dist!$1:$1, 0)) / SUM(INDEX(Volcado_Dist!$A:$ZZ, 0, MATCH(O$2, Volcado_Dist!$1:$1, 0))), 0)</f>
        <v>0</v>
      </c>
      <c r="P72" s="16">
        <f>IFERROR(INDEX(Volcado_Dist!$A:$ZZ, MATCH($B72, Volcado_Dist!$A:$A, 0), MATCH(P$2, Volcado_Dist!$1:$1, 0)) / SUM(INDEX(Volcado_Dist!$A:$ZZ, 0, MATCH(P$2, Volcado_Dist!$1:$1, 0))), 0)</f>
        <v>0</v>
      </c>
      <c r="Q72" s="16">
        <f>IFERROR(INDEX(Volcado_Dist!$A:$ZZ, MATCH($B72, Volcado_Dist!$A:$A, 0), MATCH(Q$2, Volcado_Dist!$1:$1, 0)) / SUM(INDEX(Volcado_Dist!$A:$ZZ, 0, MATCH(Q$2, Volcado_Dist!$1:$1, 0))), 0)</f>
        <v>0</v>
      </c>
      <c r="R72" s="16">
        <f>IFERROR(INDEX(Volcado_Dist!$A:$ZZ, MATCH($B72, Volcado_Dist!$A:$A, 0), MATCH(R$2, Volcado_Dist!$1:$1, 0)) / SUM(INDEX(Volcado_Dist!$A:$ZZ, 0, MATCH(R$2, Volcado_Dist!$1:$1, 0))), 0)</f>
        <v>0</v>
      </c>
      <c r="S72" s="16">
        <f>IFERROR(INDEX(Volcado_Dist!$A:$ZZ, MATCH($B72, Volcado_Dist!$A:$A, 0), MATCH(S$2, Volcado_Dist!$1:$1, 0)) / SUM(INDEX(Volcado_Dist!$A:$ZZ, 0, MATCH(S$2, Volcado_Dist!$1:$1, 0))), 0)</f>
        <v>0</v>
      </c>
      <c r="T72" s="16">
        <f>IFERROR(INDEX(Volcado_Dist!$A:$ZZ, MATCH($B72, Volcado_Dist!$A:$A, 0), MATCH(T$2, Volcado_Dist!$1:$1, 0)) / SUM(INDEX(Volcado_Dist!$A:$ZZ, 0, MATCH(T$2, Volcado_Dist!$1:$1, 0))), 0)</f>
        <v>0</v>
      </c>
      <c r="U72" s="16">
        <f>IFERROR(INDEX(Volcado_Dist!$A:$ZZ, MATCH($B72, Volcado_Dist!$A:$A, 0), MATCH(U$2, Volcado_Dist!$1:$1, 0)) / SUM(INDEX(Volcado_Dist!$A:$ZZ, 0, MATCH(U$2, Volcado_Dist!$1:$1, 0))), 0)</f>
        <v>0</v>
      </c>
      <c r="V72" s="16">
        <f>IFERROR(INDEX(Volcado_Dist!$A:$ZZ, MATCH($B72, Volcado_Dist!$A:$A, 0), MATCH(V$2, Volcado_Dist!$1:$1, 0)) / SUM(INDEX(Volcado_Dist!$A:$ZZ, 0, MATCH(V$2, Volcado_Dist!$1:$1, 0))), 0)</f>
        <v>0</v>
      </c>
      <c r="W72" s="16">
        <f t="shared" si="3"/>
        <v>-7.4407043400924907E-6</v>
      </c>
      <c r="X72" s="17">
        <f>IFERROR(SUM(_xlfn.XLOOKUP($B72, Volcado_Vend!$A:$A, Volcado_Vend!$C:$ZZ, 0)) / SUM(Volcado_Vend!$C:$ZZ), 0)</f>
        <v>0</v>
      </c>
      <c r="Y72" s="24">
        <f t="shared" si="2"/>
        <v>-3.7203521700462454E-6</v>
      </c>
    </row>
    <row r="73" spans="2:25" x14ac:dyDescent="0.25">
      <c r="B73" s="15" t="s">
        <v>97</v>
      </c>
      <c r="C73" s="16">
        <f>IFERROR(INDEX(Volcado_Dist!$A:$ZZ, MATCH($B73, Volcado_Dist!$A:$A, 0), MATCH(C$2, Volcado_Dist!$1:$1, 0)) / SUM(INDEX(Volcado_Dist!$A:$ZZ, 0, MATCH(C$2, Volcado_Dist!$1:$1, 0))), 0)</f>
        <v>1.2575151165958702E-4</v>
      </c>
      <c r="D73" s="16">
        <f>IFERROR(INDEX(Volcado_Dist!$A:$ZZ, MATCH($B73, Volcado_Dist!$A:$A, 0), MATCH(D$2, Volcado_Dist!$1:$1, 0)) / SUM(INDEX(Volcado_Dist!$A:$ZZ, 0, MATCH(D$2, Volcado_Dist!$1:$1, 0))), 0)</f>
        <v>0</v>
      </c>
      <c r="E73" s="16">
        <f>IFERROR(INDEX(Volcado_Dist!$A:$ZZ, MATCH($B73, Volcado_Dist!$A:$A, 0), MATCH(E$2, Volcado_Dist!$1:$1, 0)) / SUM(INDEX(Volcado_Dist!$A:$ZZ, 0, MATCH(E$2, Volcado_Dist!$1:$1, 0))), 0)</f>
        <v>9.4370618136452433E-3</v>
      </c>
      <c r="F73" s="16">
        <f>IFERROR(INDEX(Volcado_Dist!$A:$ZZ, MATCH($B73, Volcado_Dist!$A:$A, 0), MATCH(F$2, Volcado_Dist!$1:$1, 0)) / SUM(INDEX(Volcado_Dist!$A:$ZZ, 0, MATCH(F$2, Volcado_Dist!$1:$1, 0))), 0)</f>
        <v>7.4489524567669177E-3</v>
      </c>
      <c r="G73" s="16">
        <f>IFERROR(INDEX(Volcado_Dist!$A:$ZZ, MATCH($B73, Volcado_Dist!$A:$A, 0), MATCH(G$2, Volcado_Dist!$1:$1, 0)) / SUM(INDEX(Volcado_Dist!$A:$ZZ, 0, MATCH(G$2, Volcado_Dist!$1:$1, 0))), 0)</f>
        <v>0</v>
      </c>
      <c r="H73" s="16">
        <f>IFERROR(INDEX(Volcado_Dist!$A:$ZZ, MATCH($B73, Volcado_Dist!$A:$A, 0), MATCH(H$2, Volcado_Dist!$1:$1, 0)) / SUM(INDEX(Volcado_Dist!$A:$ZZ, 0, MATCH(H$2, Volcado_Dist!$1:$1, 0))), 0)</f>
        <v>0</v>
      </c>
      <c r="I73" s="16">
        <f>IFERROR(INDEX(Volcado_Dist!$A:$ZZ, MATCH($B73, Volcado_Dist!$A:$A, 0), MATCH(I$2, Volcado_Dist!$1:$1, 0)) / SUM(INDEX(Volcado_Dist!$A:$ZZ, 0, MATCH(I$2, Volcado_Dist!$1:$1, 0))), 0)</f>
        <v>6.3765946496022819E-3</v>
      </c>
      <c r="J73" s="16">
        <f>IFERROR(INDEX(Volcado_Dist!$A:$ZZ, MATCH($B73, Volcado_Dist!$A:$A, 0), MATCH(J$2, Volcado_Dist!$1:$1, 0)) / SUM(INDEX(Volcado_Dist!$A:$ZZ, 0, MATCH(J$2, Volcado_Dist!$1:$1, 0))), 0)</f>
        <v>0</v>
      </c>
      <c r="K73" s="16">
        <f>IFERROR(INDEX(Volcado_Dist!$A:$ZZ, MATCH($B73, Volcado_Dist!$A:$A, 0), MATCH(K$2, Volcado_Dist!$1:$1, 0)) / SUM(INDEX(Volcado_Dist!$A:$ZZ, 0, MATCH(K$2, Volcado_Dist!$1:$1, 0))), 0)</f>
        <v>7.0972247899187501E-4</v>
      </c>
      <c r="L73" s="16">
        <f>IFERROR(INDEX(Volcado_Dist!$A:$ZZ, MATCH($B73, Volcado_Dist!$A:$A, 0), MATCH(L$2, Volcado_Dist!$1:$1, 0)) / SUM(INDEX(Volcado_Dist!$A:$ZZ, 0, MATCH(L$2, Volcado_Dist!$1:$1, 0))), 0)</f>
        <v>0</v>
      </c>
      <c r="M73" s="16">
        <f>IFERROR(INDEX(Volcado_Dist!$A:$ZZ, MATCH($B73, Volcado_Dist!$A:$A, 0), MATCH(M$2, Volcado_Dist!$1:$1, 0)) / SUM(INDEX(Volcado_Dist!$A:$ZZ, 0, MATCH(M$2, Volcado_Dist!$1:$1, 0))), 0)</f>
        <v>-8.9295787190781586E-3</v>
      </c>
      <c r="N73" s="16">
        <f>IFERROR(INDEX(Volcado_Dist!$A:$ZZ, MATCH($B73, Volcado_Dist!$A:$A, 0), MATCH(N$2, Volcado_Dist!$1:$1, 0)) / SUM(INDEX(Volcado_Dist!$A:$ZZ, 0, MATCH(N$2, Volcado_Dist!$1:$1, 0))), 0)</f>
        <v>0</v>
      </c>
      <c r="O73" s="16">
        <f>IFERROR(INDEX(Volcado_Dist!$A:$ZZ, MATCH($B73, Volcado_Dist!$A:$A, 0), MATCH(O$2, Volcado_Dist!$1:$1, 0)) / SUM(INDEX(Volcado_Dist!$A:$ZZ, 0, MATCH(O$2, Volcado_Dist!$1:$1, 0))), 0)</f>
        <v>7.062471456927677E-3</v>
      </c>
      <c r="P73" s="16">
        <f>IFERROR(INDEX(Volcado_Dist!$A:$ZZ, MATCH($B73, Volcado_Dist!$A:$A, 0), MATCH(P$2, Volcado_Dist!$1:$1, 0)) / SUM(INDEX(Volcado_Dist!$A:$ZZ, 0, MATCH(P$2, Volcado_Dist!$1:$1, 0))), 0)</f>
        <v>2.5566404075997276E-3</v>
      </c>
      <c r="Q73" s="16">
        <f>IFERROR(INDEX(Volcado_Dist!$A:$ZZ, MATCH($B73, Volcado_Dist!$A:$A, 0), MATCH(Q$2, Volcado_Dist!$1:$1, 0)) / SUM(INDEX(Volcado_Dist!$A:$ZZ, 0, MATCH(Q$2, Volcado_Dist!$1:$1, 0))), 0)</f>
        <v>-1.3566746040864141E-3</v>
      </c>
      <c r="R73" s="16">
        <f>IFERROR(INDEX(Volcado_Dist!$A:$ZZ, MATCH($B73, Volcado_Dist!$A:$A, 0), MATCH(R$2, Volcado_Dist!$1:$1, 0)) / SUM(INDEX(Volcado_Dist!$A:$ZZ, 0, MATCH(R$2, Volcado_Dist!$1:$1, 0))), 0)</f>
        <v>0</v>
      </c>
      <c r="S73" s="16">
        <f>IFERROR(INDEX(Volcado_Dist!$A:$ZZ, MATCH($B73, Volcado_Dist!$A:$A, 0), MATCH(S$2, Volcado_Dist!$1:$1, 0)) / SUM(INDEX(Volcado_Dist!$A:$ZZ, 0, MATCH(S$2, Volcado_Dist!$1:$1, 0))), 0)</f>
        <v>7.1691063479590667E-4</v>
      </c>
      <c r="T73" s="16">
        <f>IFERROR(INDEX(Volcado_Dist!$A:$ZZ, MATCH($B73, Volcado_Dist!$A:$A, 0), MATCH(T$2, Volcado_Dist!$1:$1, 0)) / SUM(INDEX(Volcado_Dist!$A:$ZZ, 0, MATCH(T$2, Volcado_Dist!$1:$1, 0))), 0)</f>
        <v>0</v>
      </c>
      <c r="U73" s="16">
        <f>IFERROR(INDEX(Volcado_Dist!$A:$ZZ, MATCH($B73, Volcado_Dist!$A:$A, 0), MATCH(U$2, Volcado_Dist!$1:$1, 0)) / SUM(INDEX(Volcado_Dist!$A:$ZZ, 0, MATCH(U$2, Volcado_Dist!$1:$1, 0))), 0)</f>
        <v>0</v>
      </c>
      <c r="V73" s="16">
        <f>IFERROR(INDEX(Volcado_Dist!$A:$ZZ, MATCH($B73, Volcado_Dist!$A:$A, 0), MATCH(V$2, Volcado_Dist!$1:$1, 0)) / SUM(INDEX(Volcado_Dist!$A:$ZZ, 0, MATCH(V$2, Volcado_Dist!$1:$1, 0))), 0)</f>
        <v>5.985382404716133E-3</v>
      </c>
      <c r="W73" s="16">
        <f t="shared" si="3"/>
        <v>1.5066617245770386E-3</v>
      </c>
      <c r="X73" s="17">
        <f>IFERROR(SUM(_xlfn.XLOOKUP($B73, Volcado_Vend!$A:$A, Volcado_Vend!$C:$ZZ, 0)) / SUM(Volcado_Vend!$C:$ZZ), 0)</f>
        <v>3.795759196648002E-2</v>
      </c>
      <c r="Y73" s="24">
        <f t="shared" si="2"/>
        <v>1.9732126845528528E-2</v>
      </c>
    </row>
    <row r="74" spans="2:25" x14ac:dyDescent="0.25">
      <c r="B74" s="15" t="s">
        <v>98</v>
      </c>
      <c r="C74" s="16">
        <f>IFERROR(INDEX(Volcado_Dist!$A:$ZZ, MATCH($B74, Volcado_Dist!$A:$A, 0), MATCH(C$2, Volcado_Dist!$1:$1, 0)) / SUM(INDEX(Volcado_Dist!$A:$ZZ, 0, MATCH(C$2, Volcado_Dist!$1:$1, 0))), 0)</f>
        <v>4.4488090347125005E-4</v>
      </c>
      <c r="D74" s="16">
        <f>IFERROR(INDEX(Volcado_Dist!$A:$ZZ, MATCH($B74, Volcado_Dist!$A:$A, 0), MATCH(D$2, Volcado_Dist!$1:$1, 0)) / SUM(INDEX(Volcado_Dist!$A:$ZZ, 0, MATCH(D$2, Volcado_Dist!$1:$1, 0))), 0)</f>
        <v>0</v>
      </c>
      <c r="E74" s="16">
        <f>IFERROR(INDEX(Volcado_Dist!$A:$ZZ, MATCH($B74, Volcado_Dist!$A:$A, 0), MATCH(E$2, Volcado_Dist!$1:$1, 0)) / SUM(INDEX(Volcado_Dist!$A:$ZZ, 0, MATCH(E$2, Volcado_Dist!$1:$1, 0))), 0)</f>
        <v>0</v>
      </c>
      <c r="F74" s="16">
        <f>IFERROR(INDEX(Volcado_Dist!$A:$ZZ, MATCH($B74, Volcado_Dist!$A:$A, 0), MATCH(F$2, Volcado_Dist!$1:$1, 0)) / SUM(INDEX(Volcado_Dist!$A:$ZZ, 0, MATCH(F$2, Volcado_Dist!$1:$1, 0))), 0)</f>
        <v>0</v>
      </c>
      <c r="G74" s="16">
        <f>IFERROR(INDEX(Volcado_Dist!$A:$ZZ, MATCH($B74, Volcado_Dist!$A:$A, 0), MATCH(G$2, Volcado_Dist!$1:$1, 0)) / SUM(INDEX(Volcado_Dist!$A:$ZZ, 0, MATCH(G$2, Volcado_Dist!$1:$1, 0))), 0)</f>
        <v>0</v>
      </c>
      <c r="H74" s="16">
        <f>IFERROR(INDEX(Volcado_Dist!$A:$ZZ, MATCH($B74, Volcado_Dist!$A:$A, 0), MATCH(H$2, Volcado_Dist!$1:$1, 0)) / SUM(INDEX(Volcado_Dist!$A:$ZZ, 0, MATCH(H$2, Volcado_Dist!$1:$1, 0))), 0)</f>
        <v>0</v>
      </c>
      <c r="I74" s="16">
        <f>IFERROR(INDEX(Volcado_Dist!$A:$ZZ, MATCH($B74, Volcado_Dist!$A:$A, 0), MATCH(I$2, Volcado_Dist!$1:$1, 0)) / SUM(INDEX(Volcado_Dist!$A:$ZZ, 0, MATCH(I$2, Volcado_Dist!$1:$1, 0))), 0)</f>
        <v>2.1167602572643423E-3</v>
      </c>
      <c r="J74" s="16">
        <f>IFERROR(INDEX(Volcado_Dist!$A:$ZZ, MATCH($B74, Volcado_Dist!$A:$A, 0), MATCH(J$2, Volcado_Dist!$1:$1, 0)) / SUM(INDEX(Volcado_Dist!$A:$ZZ, 0, MATCH(J$2, Volcado_Dist!$1:$1, 0))), 0)</f>
        <v>0</v>
      </c>
      <c r="K74" s="16">
        <f>IFERROR(INDEX(Volcado_Dist!$A:$ZZ, MATCH($B74, Volcado_Dist!$A:$A, 0), MATCH(K$2, Volcado_Dist!$1:$1, 0)) / SUM(INDEX(Volcado_Dist!$A:$ZZ, 0, MATCH(K$2, Volcado_Dist!$1:$1, 0))), 0)</f>
        <v>0</v>
      </c>
      <c r="L74" s="16">
        <f>IFERROR(INDEX(Volcado_Dist!$A:$ZZ, MATCH($B74, Volcado_Dist!$A:$A, 0), MATCH(L$2, Volcado_Dist!$1:$1, 0)) / SUM(INDEX(Volcado_Dist!$A:$ZZ, 0, MATCH(L$2, Volcado_Dist!$1:$1, 0))), 0)</f>
        <v>0</v>
      </c>
      <c r="M74" s="16">
        <f>IFERROR(INDEX(Volcado_Dist!$A:$ZZ, MATCH($B74, Volcado_Dist!$A:$A, 0), MATCH(M$2, Volcado_Dist!$1:$1, 0)) / SUM(INDEX(Volcado_Dist!$A:$ZZ, 0, MATCH(M$2, Volcado_Dist!$1:$1, 0))), 0)</f>
        <v>0</v>
      </c>
      <c r="N74" s="16">
        <f>IFERROR(INDEX(Volcado_Dist!$A:$ZZ, MATCH($B74, Volcado_Dist!$A:$A, 0), MATCH(N$2, Volcado_Dist!$1:$1, 0)) / SUM(INDEX(Volcado_Dist!$A:$ZZ, 0, MATCH(N$2, Volcado_Dist!$1:$1, 0))), 0)</f>
        <v>0</v>
      </c>
      <c r="O74" s="16">
        <f>IFERROR(INDEX(Volcado_Dist!$A:$ZZ, MATCH($B74, Volcado_Dist!$A:$A, 0), MATCH(O$2, Volcado_Dist!$1:$1, 0)) / SUM(INDEX(Volcado_Dist!$A:$ZZ, 0, MATCH(O$2, Volcado_Dist!$1:$1, 0))), 0)</f>
        <v>0</v>
      </c>
      <c r="P74" s="16">
        <f>IFERROR(INDEX(Volcado_Dist!$A:$ZZ, MATCH($B74, Volcado_Dist!$A:$A, 0), MATCH(P$2, Volcado_Dist!$1:$1, 0)) / SUM(INDEX(Volcado_Dist!$A:$ZZ, 0, MATCH(P$2, Volcado_Dist!$1:$1, 0))), 0)</f>
        <v>2.0182668738340988E-4</v>
      </c>
      <c r="Q74" s="16">
        <f>IFERROR(INDEX(Volcado_Dist!$A:$ZZ, MATCH($B74, Volcado_Dist!$A:$A, 0), MATCH(Q$2, Volcado_Dist!$1:$1, 0)) / SUM(INDEX(Volcado_Dist!$A:$ZZ, 0, MATCH(Q$2, Volcado_Dist!$1:$1, 0))), 0)</f>
        <v>0</v>
      </c>
      <c r="R74" s="16">
        <f>IFERROR(INDEX(Volcado_Dist!$A:$ZZ, MATCH($B74, Volcado_Dist!$A:$A, 0), MATCH(R$2, Volcado_Dist!$1:$1, 0)) / SUM(INDEX(Volcado_Dist!$A:$ZZ, 0, MATCH(R$2, Volcado_Dist!$1:$1, 0))), 0)</f>
        <v>0</v>
      </c>
      <c r="S74" s="16">
        <f>IFERROR(INDEX(Volcado_Dist!$A:$ZZ, MATCH($B74, Volcado_Dist!$A:$A, 0), MATCH(S$2, Volcado_Dist!$1:$1, 0)) / SUM(INDEX(Volcado_Dist!$A:$ZZ, 0, MATCH(S$2, Volcado_Dist!$1:$1, 0))), 0)</f>
        <v>0</v>
      </c>
      <c r="T74" s="16">
        <f>IFERROR(INDEX(Volcado_Dist!$A:$ZZ, MATCH($B74, Volcado_Dist!$A:$A, 0), MATCH(T$2, Volcado_Dist!$1:$1, 0)) / SUM(INDEX(Volcado_Dist!$A:$ZZ, 0, MATCH(T$2, Volcado_Dist!$1:$1, 0))), 0)</f>
        <v>0</v>
      </c>
      <c r="U74" s="16">
        <f>IFERROR(INDEX(Volcado_Dist!$A:$ZZ, MATCH($B74, Volcado_Dist!$A:$A, 0), MATCH(U$2, Volcado_Dist!$1:$1, 0)) / SUM(INDEX(Volcado_Dist!$A:$ZZ, 0, MATCH(U$2, Volcado_Dist!$1:$1, 0))), 0)</f>
        <v>0</v>
      </c>
      <c r="V74" s="16">
        <f>IFERROR(INDEX(Volcado_Dist!$A:$ZZ, MATCH($B74, Volcado_Dist!$A:$A, 0), MATCH(V$2, Volcado_Dist!$1:$1, 0)) / SUM(INDEX(Volcado_Dist!$A:$ZZ, 0, MATCH(V$2, Volcado_Dist!$1:$1, 0))), 0)</f>
        <v>0</v>
      </c>
      <c r="W74" s="16">
        <f t="shared" si="3"/>
        <v>1.3817339240595011E-4</v>
      </c>
      <c r="X74" s="17">
        <f>IFERROR(SUM(_xlfn.XLOOKUP($B74, Volcado_Vend!$A:$A, Volcado_Vend!$C:$ZZ, 0)) / SUM(Volcado_Vend!$C:$ZZ), 0)</f>
        <v>0</v>
      </c>
      <c r="Y74" s="24">
        <f t="shared" si="2"/>
        <v>6.9086696202975053E-5</v>
      </c>
    </row>
    <row r="75" spans="2:25" x14ac:dyDescent="0.25">
      <c r="B75" s="15" t="s">
        <v>99</v>
      </c>
      <c r="C75" s="16">
        <f>IFERROR(INDEX(Volcado_Dist!$A:$ZZ, MATCH($B75, Volcado_Dist!$A:$A, 0), MATCH(C$2, Volcado_Dist!$1:$1, 0)) / SUM(INDEX(Volcado_Dist!$A:$ZZ, 0, MATCH(C$2, Volcado_Dist!$1:$1, 0))), 0)</f>
        <v>0</v>
      </c>
      <c r="D75" s="16">
        <f>IFERROR(INDEX(Volcado_Dist!$A:$ZZ, MATCH($B75, Volcado_Dist!$A:$A, 0), MATCH(D$2, Volcado_Dist!$1:$1, 0)) / SUM(INDEX(Volcado_Dist!$A:$ZZ, 0, MATCH(D$2, Volcado_Dist!$1:$1, 0))), 0)</f>
        <v>0</v>
      </c>
      <c r="E75" s="16">
        <f>IFERROR(INDEX(Volcado_Dist!$A:$ZZ, MATCH($B75, Volcado_Dist!$A:$A, 0), MATCH(E$2, Volcado_Dist!$1:$1, 0)) / SUM(INDEX(Volcado_Dist!$A:$ZZ, 0, MATCH(E$2, Volcado_Dist!$1:$1, 0))), 0)</f>
        <v>-2.6947146546691318E-5</v>
      </c>
      <c r="F75" s="16">
        <f>IFERROR(INDEX(Volcado_Dist!$A:$ZZ, MATCH($B75, Volcado_Dist!$A:$A, 0), MATCH(F$2, Volcado_Dist!$1:$1, 0)) / SUM(INDEX(Volcado_Dist!$A:$ZZ, 0, MATCH(F$2, Volcado_Dist!$1:$1, 0))), 0)</f>
        <v>6.6379341603806444E-4</v>
      </c>
      <c r="G75" s="16">
        <f>IFERROR(INDEX(Volcado_Dist!$A:$ZZ, MATCH($B75, Volcado_Dist!$A:$A, 0), MATCH(G$2, Volcado_Dist!$1:$1, 0)) / SUM(INDEX(Volcado_Dist!$A:$ZZ, 0, MATCH(G$2, Volcado_Dist!$1:$1, 0))), 0)</f>
        <v>0</v>
      </c>
      <c r="H75" s="16">
        <f>IFERROR(INDEX(Volcado_Dist!$A:$ZZ, MATCH($B75, Volcado_Dist!$A:$A, 0), MATCH(H$2, Volcado_Dist!$1:$1, 0)) / SUM(INDEX(Volcado_Dist!$A:$ZZ, 0, MATCH(H$2, Volcado_Dist!$1:$1, 0))), 0)</f>
        <v>0</v>
      </c>
      <c r="I75" s="16">
        <f>IFERROR(INDEX(Volcado_Dist!$A:$ZZ, MATCH($B75, Volcado_Dist!$A:$A, 0), MATCH(I$2, Volcado_Dist!$1:$1, 0)) / SUM(INDEX(Volcado_Dist!$A:$ZZ, 0, MATCH(I$2, Volcado_Dist!$1:$1, 0))), 0)</f>
        <v>-7.6977014306705454E-4</v>
      </c>
      <c r="J75" s="16">
        <f>IFERROR(INDEX(Volcado_Dist!$A:$ZZ, MATCH($B75, Volcado_Dist!$A:$A, 0), MATCH(J$2, Volcado_Dist!$1:$1, 0)) / SUM(INDEX(Volcado_Dist!$A:$ZZ, 0, MATCH(J$2, Volcado_Dist!$1:$1, 0))), 0)</f>
        <v>0</v>
      </c>
      <c r="K75" s="16">
        <f>IFERROR(INDEX(Volcado_Dist!$A:$ZZ, MATCH($B75, Volcado_Dist!$A:$A, 0), MATCH(K$2, Volcado_Dist!$1:$1, 0)) / SUM(INDEX(Volcado_Dist!$A:$ZZ, 0, MATCH(K$2, Volcado_Dist!$1:$1, 0))), 0)</f>
        <v>5.06336936579637E-4</v>
      </c>
      <c r="L75" s="16">
        <f>IFERROR(INDEX(Volcado_Dist!$A:$ZZ, MATCH($B75, Volcado_Dist!$A:$A, 0), MATCH(L$2, Volcado_Dist!$1:$1, 0)) / SUM(INDEX(Volcado_Dist!$A:$ZZ, 0, MATCH(L$2, Volcado_Dist!$1:$1, 0))), 0)</f>
        <v>0</v>
      </c>
      <c r="M75" s="16">
        <f>IFERROR(INDEX(Volcado_Dist!$A:$ZZ, MATCH($B75, Volcado_Dist!$A:$A, 0), MATCH(M$2, Volcado_Dist!$1:$1, 0)) / SUM(INDEX(Volcado_Dist!$A:$ZZ, 0, MATCH(M$2, Volcado_Dist!$1:$1, 0))), 0)</f>
        <v>0</v>
      </c>
      <c r="N75" s="16">
        <f>IFERROR(INDEX(Volcado_Dist!$A:$ZZ, MATCH($B75, Volcado_Dist!$A:$A, 0), MATCH(N$2, Volcado_Dist!$1:$1, 0)) / SUM(INDEX(Volcado_Dist!$A:$ZZ, 0, MATCH(N$2, Volcado_Dist!$1:$1, 0))), 0)</f>
        <v>0</v>
      </c>
      <c r="O75" s="16">
        <f>IFERROR(INDEX(Volcado_Dist!$A:$ZZ, MATCH($B75, Volcado_Dist!$A:$A, 0), MATCH(O$2, Volcado_Dist!$1:$1, 0)) / SUM(INDEX(Volcado_Dist!$A:$ZZ, 0, MATCH(O$2, Volcado_Dist!$1:$1, 0))), 0)</f>
        <v>2.3384208077082279E-3</v>
      </c>
      <c r="P75" s="16">
        <f>IFERROR(INDEX(Volcado_Dist!$A:$ZZ, MATCH($B75, Volcado_Dist!$A:$A, 0), MATCH(P$2, Volcado_Dist!$1:$1, 0)) / SUM(INDEX(Volcado_Dist!$A:$ZZ, 0, MATCH(P$2, Volcado_Dist!$1:$1, 0))), 0)</f>
        <v>0</v>
      </c>
      <c r="Q75" s="16">
        <f>IFERROR(INDEX(Volcado_Dist!$A:$ZZ, MATCH($B75, Volcado_Dist!$A:$A, 0), MATCH(Q$2, Volcado_Dist!$1:$1, 0)) / SUM(INDEX(Volcado_Dist!$A:$ZZ, 0, MATCH(Q$2, Volcado_Dist!$1:$1, 0))), 0)</f>
        <v>0</v>
      </c>
      <c r="R75" s="16">
        <f>IFERROR(INDEX(Volcado_Dist!$A:$ZZ, MATCH($B75, Volcado_Dist!$A:$A, 0), MATCH(R$2, Volcado_Dist!$1:$1, 0)) / SUM(INDEX(Volcado_Dist!$A:$ZZ, 0, MATCH(R$2, Volcado_Dist!$1:$1, 0))), 0)</f>
        <v>0</v>
      </c>
      <c r="S75" s="16">
        <f>IFERROR(INDEX(Volcado_Dist!$A:$ZZ, MATCH($B75, Volcado_Dist!$A:$A, 0), MATCH(S$2, Volcado_Dist!$1:$1, 0)) / SUM(INDEX(Volcado_Dist!$A:$ZZ, 0, MATCH(S$2, Volcado_Dist!$1:$1, 0))), 0)</f>
        <v>0</v>
      </c>
      <c r="T75" s="16">
        <f>IFERROR(INDEX(Volcado_Dist!$A:$ZZ, MATCH($B75, Volcado_Dist!$A:$A, 0), MATCH(T$2, Volcado_Dist!$1:$1, 0)) / SUM(INDEX(Volcado_Dist!$A:$ZZ, 0, MATCH(T$2, Volcado_Dist!$1:$1, 0))), 0)</f>
        <v>0</v>
      </c>
      <c r="U75" s="16">
        <f>IFERROR(INDEX(Volcado_Dist!$A:$ZZ, MATCH($B75, Volcado_Dist!$A:$A, 0), MATCH(U$2, Volcado_Dist!$1:$1, 0)) / SUM(INDEX(Volcado_Dist!$A:$ZZ, 0, MATCH(U$2, Volcado_Dist!$1:$1, 0))), 0)</f>
        <v>0</v>
      </c>
      <c r="V75" s="16">
        <f>IFERROR(INDEX(Volcado_Dist!$A:$ZZ, MATCH($B75, Volcado_Dist!$A:$A, 0), MATCH(V$2, Volcado_Dist!$1:$1, 0)) / SUM(INDEX(Volcado_Dist!$A:$ZZ, 0, MATCH(V$2, Volcado_Dist!$1:$1, 0))), 0)</f>
        <v>0</v>
      </c>
      <c r="W75" s="16">
        <f t="shared" si="3"/>
        <v>1.3559169353560919E-4</v>
      </c>
      <c r="X75" s="17">
        <f>IFERROR(SUM(_xlfn.XLOOKUP($B75, Volcado_Vend!$A:$A, Volcado_Vend!$C:$ZZ, 0)) / SUM(Volcado_Vend!$C:$ZZ), 0)</f>
        <v>3.7055388718548331E-3</v>
      </c>
      <c r="Y75" s="24">
        <f t="shared" si="2"/>
        <v>1.9205652826952211E-3</v>
      </c>
    </row>
    <row r="76" spans="2:25" x14ac:dyDescent="0.25">
      <c r="B76" s="15" t="s">
        <v>100</v>
      </c>
      <c r="C76" s="16">
        <f>IFERROR(INDEX(Volcado_Dist!$A:$ZZ, MATCH($B76, Volcado_Dist!$A:$A, 0), MATCH(C$2, Volcado_Dist!$1:$1, 0)) / SUM(INDEX(Volcado_Dist!$A:$ZZ, 0, MATCH(C$2, Volcado_Dist!$1:$1, 0))), 0)</f>
        <v>0</v>
      </c>
      <c r="D76" s="16">
        <f>IFERROR(INDEX(Volcado_Dist!$A:$ZZ, MATCH($B76, Volcado_Dist!$A:$A, 0), MATCH(D$2, Volcado_Dist!$1:$1, 0)) / SUM(INDEX(Volcado_Dist!$A:$ZZ, 0, MATCH(D$2, Volcado_Dist!$1:$1, 0))), 0)</f>
        <v>0</v>
      </c>
      <c r="E76" s="16">
        <f>IFERROR(INDEX(Volcado_Dist!$A:$ZZ, MATCH($B76, Volcado_Dist!$A:$A, 0), MATCH(E$2, Volcado_Dist!$1:$1, 0)) / SUM(INDEX(Volcado_Dist!$A:$ZZ, 0, MATCH(E$2, Volcado_Dist!$1:$1, 0))), 0)</f>
        <v>0</v>
      </c>
      <c r="F76" s="16">
        <f>IFERROR(INDEX(Volcado_Dist!$A:$ZZ, MATCH($B76, Volcado_Dist!$A:$A, 0), MATCH(F$2, Volcado_Dist!$1:$1, 0)) / SUM(INDEX(Volcado_Dist!$A:$ZZ, 0, MATCH(F$2, Volcado_Dist!$1:$1, 0))), 0)</f>
        <v>0</v>
      </c>
      <c r="G76" s="16">
        <f>IFERROR(INDEX(Volcado_Dist!$A:$ZZ, MATCH($B76, Volcado_Dist!$A:$A, 0), MATCH(G$2, Volcado_Dist!$1:$1, 0)) / SUM(INDEX(Volcado_Dist!$A:$ZZ, 0, MATCH(G$2, Volcado_Dist!$1:$1, 0))), 0)</f>
        <v>0</v>
      </c>
      <c r="H76" s="16">
        <f>IFERROR(INDEX(Volcado_Dist!$A:$ZZ, MATCH($B76, Volcado_Dist!$A:$A, 0), MATCH(H$2, Volcado_Dist!$1:$1, 0)) / SUM(INDEX(Volcado_Dist!$A:$ZZ, 0, MATCH(H$2, Volcado_Dist!$1:$1, 0))), 0)</f>
        <v>0</v>
      </c>
      <c r="I76" s="16">
        <f>IFERROR(INDEX(Volcado_Dist!$A:$ZZ, MATCH($B76, Volcado_Dist!$A:$A, 0), MATCH(I$2, Volcado_Dist!$1:$1, 0)) / SUM(INDEX(Volcado_Dist!$A:$ZZ, 0, MATCH(I$2, Volcado_Dist!$1:$1, 0))), 0)</f>
        <v>0</v>
      </c>
      <c r="J76" s="16">
        <f>IFERROR(INDEX(Volcado_Dist!$A:$ZZ, MATCH($B76, Volcado_Dist!$A:$A, 0), MATCH(J$2, Volcado_Dist!$1:$1, 0)) / SUM(INDEX(Volcado_Dist!$A:$ZZ, 0, MATCH(J$2, Volcado_Dist!$1:$1, 0))), 0)</f>
        <v>0</v>
      </c>
      <c r="K76" s="16">
        <f>IFERROR(INDEX(Volcado_Dist!$A:$ZZ, MATCH($B76, Volcado_Dist!$A:$A, 0), MATCH(K$2, Volcado_Dist!$1:$1, 0)) / SUM(INDEX(Volcado_Dist!$A:$ZZ, 0, MATCH(K$2, Volcado_Dist!$1:$1, 0))), 0)</f>
        <v>0</v>
      </c>
      <c r="L76" s="16">
        <f>IFERROR(INDEX(Volcado_Dist!$A:$ZZ, MATCH($B76, Volcado_Dist!$A:$A, 0), MATCH(L$2, Volcado_Dist!$1:$1, 0)) / SUM(INDEX(Volcado_Dist!$A:$ZZ, 0, MATCH(L$2, Volcado_Dist!$1:$1, 0))), 0)</f>
        <v>0</v>
      </c>
      <c r="M76" s="16">
        <f>IFERROR(INDEX(Volcado_Dist!$A:$ZZ, MATCH($B76, Volcado_Dist!$A:$A, 0), MATCH(M$2, Volcado_Dist!$1:$1, 0)) / SUM(INDEX(Volcado_Dist!$A:$ZZ, 0, MATCH(M$2, Volcado_Dist!$1:$1, 0))), 0)</f>
        <v>0</v>
      </c>
      <c r="N76" s="16">
        <f>IFERROR(INDEX(Volcado_Dist!$A:$ZZ, MATCH($B76, Volcado_Dist!$A:$A, 0), MATCH(N$2, Volcado_Dist!$1:$1, 0)) / SUM(INDEX(Volcado_Dist!$A:$ZZ, 0, MATCH(N$2, Volcado_Dist!$1:$1, 0))), 0)</f>
        <v>0</v>
      </c>
      <c r="O76" s="16">
        <f>IFERROR(INDEX(Volcado_Dist!$A:$ZZ, MATCH($B76, Volcado_Dist!$A:$A, 0), MATCH(O$2, Volcado_Dist!$1:$1, 0)) / SUM(INDEX(Volcado_Dist!$A:$ZZ, 0, MATCH(O$2, Volcado_Dist!$1:$1, 0))), 0)</f>
        <v>0</v>
      </c>
      <c r="P76" s="16">
        <f>IFERROR(INDEX(Volcado_Dist!$A:$ZZ, MATCH($B76, Volcado_Dist!$A:$A, 0), MATCH(P$2, Volcado_Dist!$1:$1, 0)) / SUM(INDEX(Volcado_Dist!$A:$ZZ, 0, MATCH(P$2, Volcado_Dist!$1:$1, 0))), 0)</f>
        <v>0</v>
      </c>
      <c r="Q76" s="16">
        <f>IFERROR(INDEX(Volcado_Dist!$A:$ZZ, MATCH($B76, Volcado_Dist!$A:$A, 0), MATCH(Q$2, Volcado_Dist!$1:$1, 0)) / SUM(INDEX(Volcado_Dist!$A:$ZZ, 0, MATCH(Q$2, Volcado_Dist!$1:$1, 0))), 0)</f>
        <v>0</v>
      </c>
      <c r="R76" s="16">
        <f>IFERROR(INDEX(Volcado_Dist!$A:$ZZ, MATCH($B76, Volcado_Dist!$A:$A, 0), MATCH(R$2, Volcado_Dist!$1:$1, 0)) / SUM(INDEX(Volcado_Dist!$A:$ZZ, 0, MATCH(R$2, Volcado_Dist!$1:$1, 0))), 0)</f>
        <v>0</v>
      </c>
      <c r="S76" s="16">
        <f>IFERROR(INDEX(Volcado_Dist!$A:$ZZ, MATCH($B76, Volcado_Dist!$A:$A, 0), MATCH(S$2, Volcado_Dist!$1:$1, 0)) / SUM(INDEX(Volcado_Dist!$A:$ZZ, 0, MATCH(S$2, Volcado_Dist!$1:$1, 0))), 0)</f>
        <v>0</v>
      </c>
      <c r="T76" s="16">
        <f>IFERROR(INDEX(Volcado_Dist!$A:$ZZ, MATCH($B76, Volcado_Dist!$A:$A, 0), MATCH(T$2, Volcado_Dist!$1:$1, 0)) / SUM(INDEX(Volcado_Dist!$A:$ZZ, 0, MATCH(T$2, Volcado_Dist!$1:$1, 0))), 0)</f>
        <v>0</v>
      </c>
      <c r="U76" s="16">
        <f>IFERROR(INDEX(Volcado_Dist!$A:$ZZ, MATCH($B76, Volcado_Dist!$A:$A, 0), MATCH(U$2, Volcado_Dist!$1:$1, 0)) / SUM(INDEX(Volcado_Dist!$A:$ZZ, 0, MATCH(U$2, Volcado_Dist!$1:$1, 0))), 0)</f>
        <v>0</v>
      </c>
      <c r="V76" s="16">
        <f>IFERROR(INDEX(Volcado_Dist!$A:$ZZ, MATCH($B76, Volcado_Dist!$A:$A, 0), MATCH(V$2, Volcado_Dist!$1:$1, 0)) / SUM(INDEX(Volcado_Dist!$A:$ZZ, 0, MATCH(V$2, Volcado_Dist!$1:$1, 0))), 0)</f>
        <v>2.917700885982786E-20</v>
      </c>
      <c r="W76" s="16">
        <f t="shared" si="3"/>
        <v>1.458850442991393E-21</v>
      </c>
      <c r="X76" s="17">
        <f>IFERROR(SUM(_xlfn.XLOOKUP($B76, Volcado_Vend!$A:$A, Volcado_Vend!$C:$ZZ, 0)) / SUM(Volcado_Vend!$C:$ZZ), 0)</f>
        <v>0</v>
      </c>
      <c r="Y76" s="24">
        <f t="shared" si="2"/>
        <v>7.294252214956965E-22</v>
      </c>
    </row>
    <row r="77" spans="2:25" x14ac:dyDescent="0.25">
      <c r="B77" s="15" t="s">
        <v>101</v>
      </c>
      <c r="C77" s="16">
        <f>IFERROR(INDEX(Volcado_Dist!$A:$ZZ, MATCH($B77, Volcado_Dist!$A:$A, 0), MATCH(C$2, Volcado_Dist!$1:$1, 0)) / SUM(INDEX(Volcado_Dist!$A:$ZZ, 0, MATCH(C$2, Volcado_Dist!$1:$1, 0))), 0)</f>
        <v>4.2349569454768865E-2</v>
      </c>
      <c r="D77" s="16">
        <f>IFERROR(INDEX(Volcado_Dist!$A:$ZZ, MATCH($B77, Volcado_Dist!$A:$A, 0), MATCH(D$2, Volcado_Dist!$1:$1, 0)) / SUM(INDEX(Volcado_Dist!$A:$ZZ, 0, MATCH(D$2, Volcado_Dist!$1:$1, 0))), 0)</f>
        <v>0.10138782870078368</v>
      </c>
      <c r="E77" s="16">
        <f>IFERROR(INDEX(Volcado_Dist!$A:$ZZ, MATCH($B77, Volcado_Dist!$A:$A, 0), MATCH(E$2, Volcado_Dist!$1:$1, 0)) / SUM(INDEX(Volcado_Dist!$A:$ZZ, 0, MATCH(E$2, Volcado_Dist!$1:$1, 0))), 0)</f>
        <v>4.6823656623130795E-2</v>
      </c>
      <c r="F77" s="16">
        <f>IFERROR(INDEX(Volcado_Dist!$A:$ZZ, MATCH($B77, Volcado_Dist!$A:$A, 0), MATCH(F$2, Volcado_Dist!$1:$1, 0)) / SUM(INDEX(Volcado_Dist!$A:$ZZ, 0, MATCH(F$2, Volcado_Dist!$1:$1, 0))), 0)</f>
        <v>4.6529984139871278E-2</v>
      </c>
      <c r="G77" s="16">
        <f>IFERROR(INDEX(Volcado_Dist!$A:$ZZ, MATCH($B77, Volcado_Dist!$A:$A, 0), MATCH(G$2, Volcado_Dist!$1:$1, 0)) / SUM(INDEX(Volcado_Dist!$A:$ZZ, 0, MATCH(G$2, Volcado_Dist!$1:$1, 0))), 0)</f>
        <v>0</v>
      </c>
      <c r="H77" s="16">
        <f>IFERROR(INDEX(Volcado_Dist!$A:$ZZ, MATCH($B77, Volcado_Dist!$A:$A, 0), MATCH(H$2, Volcado_Dist!$1:$1, 0)) / SUM(INDEX(Volcado_Dist!$A:$ZZ, 0, MATCH(H$2, Volcado_Dist!$1:$1, 0))), 0)</f>
        <v>0</v>
      </c>
      <c r="I77" s="16">
        <f>IFERROR(INDEX(Volcado_Dist!$A:$ZZ, MATCH($B77, Volcado_Dist!$A:$A, 0), MATCH(I$2, Volcado_Dist!$1:$1, 0)) / SUM(INDEX(Volcado_Dist!$A:$ZZ, 0, MATCH(I$2, Volcado_Dist!$1:$1, 0))), 0)</f>
        <v>3.4669164635021101E-2</v>
      </c>
      <c r="J77" s="16">
        <f>IFERROR(INDEX(Volcado_Dist!$A:$ZZ, MATCH($B77, Volcado_Dist!$A:$A, 0), MATCH(J$2, Volcado_Dist!$1:$1, 0)) / SUM(INDEX(Volcado_Dist!$A:$ZZ, 0, MATCH(J$2, Volcado_Dist!$1:$1, 0))), 0)</f>
        <v>0</v>
      </c>
      <c r="K77" s="16">
        <f>IFERROR(INDEX(Volcado_Dist!$A:$ZZ, MATCH($B77, Volcado_Dist!$A:$A, 0), MATCH(K$2, Volcado_Dist!$1:$1, 0)) / SUM(INDEX(Volcado_Dist!$A:$ZZ, 0, MATCH(K$2, Volcado_Dist!$1:$1, 0))), 0)</f>
        <v>2.7714728585444028E-2</v>
      </c>
      <c r="L77" s="16">
        <f>IFERROR(INDEX(Volcado_Dist!$A:$ZZ, MATCH($B77, Volcado_Dist!$A:$A, 0), MATCH(L$2, Volcado_Dist!$1:$1, 0)) / SUM(INDEX(Volcado_Dist!$A:$ZZ, 0, MATCH(L$2, Volcado_Dist!$1:$1, 0))), 0)</f>
        <v>4.3798365845963472E-2</v>
      </c>
      <c r="M77" s="16">
        <f>IFERROR(INDEX(Volcado_Dist!$A:$ZZ, MATCH($B77, Volcado_Dist!$A:$A, 0), MATCH(M$2, Volcado_Dist!$1:$1, 0)) / SUM(INDEX(Volcado_Dist!$A:$ZZ, 0, MATCH(M$2, Volcado_Dist!$1:$1, 0))), 0)</f>
        <v>4.8292645236239301E-2</v>
      </c>
      <c r="N77" s="16">
        <f>IFERROR(INDEX(Volcado_Dist!$A:$ZZ, MATCH($B77, Volcado_Dist!$A:$A, 0), MATCH(N$2, Volcado_Dist!$1:$1, 0)) / SUM(INDEX(Volcado_Dist!$A:$ZZ, 0, MATCH(N$2, Volcado_Dist!$1:$1, 0))), 0)</f>
        <v>0</v>
      </c>
      <c r="O77" s="16">
        <f>IFERROR(INDEX(Volcado_Dist!$A:$ZZ, MATCH($B77, Volcado_Dist!$A:$A, 0), MATCH(O$2, Volcado_Dist!$1:$1, 0)) / SUM(INDEX(Volcado_Dist!$A:$ZZ, 0, MATCH(O$2, Volcado_Dist!$1:$1, 0))), 0)</f>
        <v>3.792962611867632E-2</v>
      </c>
      <c r="P77" s="16">
        <f>IFERROR(INDEX(Volcado_Dist!$A:$ZZ, MATCH($B77, Volcado_Dist!$A:$A, 0), MATCH(P$2, Volcado_Dist!$1:$1, 0)) / SUM(INDEX(Volcado_Dist!$A:$ZZ, 0, MATCH(P$2, Volcado_Dist!$1:$1, 0))), 0)</f>
        <v>3.5870565519012486E-2</v>
      </c>
      <c r="Q77" s="16">
        <f>IFERROR(INDEX(Volcado_Dist!$A:$ZZ, MATCH($B77, Volcado_Dist!$A:$A, 0), MATCH(Q$2, Volcado_Dist!$1:$1, 0)) / SUM(INDEX(Volcado_Dist!$A:$ZZ, 0, MATCH(Q$2, Volcado_Dist!$1:$1, 0))), 0)</f>
        <v>5.4846647014029686E-2</v>
      </c>
      <c r="R77" s="16">
        <f>IFERROR(INDEX(Volcado_Dist!$A:$ZZ, MATCH($B77, Volcado_Dist!$A:$A, 0), MATCH(R$2, Volcado_Dist!$1:$1, 0)) / SUM(INDEX(Volcado_Dist!$A:$ZZ, 0, MATCH(R$2, Volcado_Dist!$1:$1, 0))), 0)</f>
        <v>0.12761045460268935</v>
      </c>
      <c r="S77" s="16">
        <f>IFERROR(INDEX(Volcado_Dist!$A:$ZZ, MATCH($B77, Volcado_Dist!$A:$A, 0), MATCH(S$2, Volcado_Dist!$1:$1, 0)) / SUM(INDEX(Volcado_Dist!$A:$ZZ, 0, MATCH(S$2, Volcado_Dist!$1:$1, 0))), 0)</f>
        <v>3.0665881894969538E-2</v>
      </c>
      <c r="T77" s="16">
        <f>IFERROR(INDEX(Volcado_Dist!$A:$ZZ, MATCH($B77, Volcado_Dist!$A:$A, 0), MATCH(T$2, Volcado_Dist!$1:$1, 0)) / SUM(INDEX(Volcado_Dist!$A:$ZZ, 0, MATCH(T$2, Volcado_Dist!$1:$1, 0))), 0)</f>
        <v>4.4227513197888951E-2</v>
      </c>
      <c r="U77" s="16">
        <f>IFERROR(INDEX(Volcado_Dist!$A:$ZZ, MATCH($B77, Volcado_Dist!$A:$A, 0), MATCH(U$2, Volcado_Dist!$1:$1, 0)) / SUM(INDEX(Volcado_Dist!$A:$ZZ, 0, MATCH(U$2, Volcado_Dist!$1:$1, 0))), 0)</f>
        <v>0.11178428869980089</v>
      </c>
      <c r="V77" s="16">
        <f>IFERROR(INDEX(Volcado_Dist!$A:$ZZ, MATCH($B77, Volcado_Dist!$A:$A, 0), MATCH(V$2, Volcado_Dist!$1:$1, 0)) / SUM(INDEX(Volcado_Dist!$A:$ZZ, 0, MATCH(V$2, Volcado_Dist!$1:$1, 0))), 0)</f>
        <v>4.1128260351476938E-2</v>
      </c>
      <c r="W77" s="16">
        <f t="shared" si="3"/>
        <v>4.3781459030988339E-2</v>
      </c>
      <c r="X77" s="17">
        <f>IFERROR(SUM(_xlfn.XLOOKUP($B77, Volcado_Vend!$A:$A, Volcado_Vend!$C:$ZZ, 0)) / SUM(Volcado_Vend!$C:$ZZ), 0)</f>
        <v>9.3886365650490845E-3</v>
      </c>
      <c r="Y77" s="24">
        <f t="shared" si="2"/>
        <v>2.6585047798018711E-2</v>
      </c>
    </row>
    <row r="78" spans="2:25" x14ac:dyDescent="0.25">
      <c r="B78" s="15" t="s">
        <v>102</v>
      </c>
      <c r="C78" s="16">
        <f>IFERROR(INDEX(Volcado_Dist!$A:$ZZ, MATCH($B78, Volcado_Dist!$A:$A, 0), MATCH(C$2, Volcado_Dist!$1:$1, 0)) / SUM(INDEX(Volcado_Dist!$A:$ZZ, 0, MATCH(C$2, Volcado_Dist!$1:$1, 0))), 0)</f>
        <v>0</v>
      </c>
      <c r="D78" s="16">
        <f>IFERROR(INDEX(Volcado_Dist!$A:$ZZ, MATCH($B78, Volcado_Dist!$A:$A, 0), MATCH(D$2, Volcado_Dist!$1:$1, 0)) / SUM(INDEX(Volcado_Dist!$A:$ZZ, 0, MATCH(D$2, Volcado_Dist!$1:$1, 0))), 0)</f>
        <v>0</v>
      </c>
      <c r="E78" s="16">
        <f>IFERROR(INDEX(Volcado_Dist!$A:$ZZ, MATCH($B78, Volcado_Dist!$A:$A, 0), MATCH(E$2, Volcado_Dist!$1:$1, 0)) / SUM(INDEX(Volcado_Dist!$A:$ZZ, 0, MATCH(E$2, Volcado_Dist!$1:$1, 0))), 0)</f>
        <v>0</v>
      </c>
      <c r="F78" s="16">
        <f>IFERROR(INDEX(Volcado_Dist!$A:$ZZ, MATCH($B78, Volcado_Dist!$A:$A, 0), MATCH(F$2, Volcado_Dist!$1:$1, 0)) / SUM(INDEX(Volcado_Dist!$A:$ZZ, 0, MATCH(F$2, Volcado_Dist!$1:$1, 0))), 0)</f>
        <v>6.884922644369065E-3</v>
      </c>
      <c r="G78" s="16">
        <f>IFERROR(INDEX(Volcado_Dist!$A:$ZZ, MATCH($B78, Volcado_Dist!$A:$A, 0), MATCH(G$2, Volcado_Dist!$1:$1, 0)) / SUM(INDEX(Volcado_Dist!$A:$ZZ, 0, MATCH(G$2, Volcado_Dist!$1:$1, 0))), 0)</f>
        <v>3.2501082432450541E-2</v>
      </c>
      <c r="H78" s="16">
        <f>IFERROR(INDEX(Volcado_Dist!$A:$ZZ, MATCH($B78, Volcado_Dist!$A:$A, 0), MATCH(H$2, Volcado_Dist!$1:$1, 0)) / SUM(INDEX(Volcado_Dist!$A:$ZZ, 0, MATCH(H$2, Volcado_Dist!$1:$1, 0))), 0)</f>
        <v>0</v>
      </c>
      <c r="I78" s="16">
        <f>IFERROR(INDEX(Volcado_Dist!$A:$ZZ, MATCH($B78, Volcado_Dist!$A:$A, 0), MATCH(I$2, Volcado_Dist!$1:$1, 0)) / SUM(INDEX(Volcado_Dist!$A:$ZZ, 0, MATCH(I$2, Volcado_Dist!$1:$1, 0))), 0)</f>
        <v>1.1426215138119766E-2</v>
      </c>
      <c r="J78" s="16">
        <f>IFERROR(INDEX(Volcado_Dist!$A:$ZZ, MATCH($B78, Volcado_Dist!$A:$A, 0), MATCH(J$2, Volcado_Dist!$1:$1, 0)) / SUM(INDEX(Volcado_Dist!$A:$ZZ, 0, MATCH(J$2, Volcado_Dist!$1:$1, 0))), 0)</f>
        <v>0</v>
      </c>
      <c r="K78" s="16">
        <f>IFERROR(INDEX(Volcado_Dist!$A:$ZZ, MATCH($B78, Volcado_Dist!$A:$A, 0), MATCH(K$2, Volcado_Dist!$1:$1, 0)) / SUM(INDEX(Volcado_Dist!$A:$ZZ, 0, MATCH(K$2, Volcado_Dist!$1:$1, 0))), 0)</f>
        <v>2.8746045530612116E-3</v>
      </c>
      <c r="L78" s="16">
        <f>IFERROR(INDEX(Volcado_Dist!$A:$ZZ, MATCH($B78, Volcado_Dist!$A:$A, 0), MATCH(L$2, Volcado_Dist!$1:$1, 0)) / SUM(INDEX(Volcado_Dist!$A:$ZZ, 0, MATCH(L$2, Volcado_Dist!$1:$1, 0))), 0)</f>
        <v>1.2185206903579457E-2</v>
      </c>
      <c r="M78" s="16">
        <f>IFERROR(INDEX(Volcado_Dist!$A:$ZZ, MATCH($B78, Volcado_Dist!$A:$A, 0), MATCH(M$2, Volcado_Dist!$1:$1, 0)) / SUM(INDEX(Volcado_Dist!$A:$ZZ, 0, MATCH(M$2, Volcado_Dist!$1:$1, 0))), 0)</f>
        <v>0</v>
      </c>
      <c r="N78" s="16">
        <f>IFERROR(INDEX(Volcado_Dist!$A:$ZZ, MATCH($B78, Volcado_Dist!$A:$A, 0), MATCH(N$2, Volcado_Dist!$1:$1, 0)) / SUM(INDEX(Volcado_Dist!$A:$ZZ, 0, MATCH(N$2, Volcado_Dist!$1:$1, 0))), 0)</f>
        <v>0</v>
      </c>
      <c r="O78" s="16">
        <f>IFERROR(INDEX(Volcado_Dist!$A:$ZZ, MATCH($B78, Volcado_Dist!$A:$A, 0), MATCH(O$2, Volcado_Dist!$1:$1, 0)) / SUM(INDEX(Volcado_Dist!$A:$ZZ, 0, MATCH(O$2, Volcado_Dist!$1:$1, 0))), 0)</f>
        <v>3.3537297613645866E-3</v>
      </c>
      <c r="P78" s="16">
        <f>IFERROR(INDEX(Volcado_Dist!$A:$ZZ, MATCH($B78, Volcado_Dist!$A:$A, 0), MATCH(P$2, Volcado_Dist!$1:$1, 0)) / SUM(INDEX(Volcado_Dist!$A:$ZZ, 0, MATCH(P$2, Volcado_Dist!$1:$1, 0))), 0)</f>
        <v>3.8178036526312358E-3</v>
      </c>
      <c r="Q78" s="16">
        <f>IFERROR(INDEX(Volcado_Dist!$A:$ZZ, MATCH($B78, Volcado_Dist!$A:$A, 0), MATCH(Q$2, Volcado_Dist!$1:$1, 0)) / SUM(INDEX(Volcado_Dist!$A:$ZZ, 0, MATCH(Q$2, Volcado_Dist!$1:$1, 0))), 0)</f>
        <v>0</v>
      </c>
      <c r="R78" s="16">
        <f>IFERROR(INDEX(Volcado_Dist!$A:$ZZ, MATCH($B78, Volcado_Dist!$A:$A, 0), MATCH(R$2, Volcado_Dist!$1:$1, 0)) / SUM(INDEX(Volcado_Dist!$A:$ZZ, 0, MATCH(R$2, Volcado_Dist!$1:$1, 0))), 0)</f>
        <v>0</v>
      </c>
      <c r="S78" s="16">
        <f>IFERROR(INDEX(Volcado_Dist!$A:$ZZ, MATCH($B78, Volcado_Dist!$A:$A, 0), MATCH(S$2, Volcado_Dist!$1:$1, 0)) / SUM(INDEX(Volcado_Dist!$A:$ZZ, 0, MATCH(S$2, Volcado_Dist!$1:$1, 0))), 0)</f>
        <v>4.3014638087754409E-3</v>
      </c>
      <c r="T78" s="16">
        <f>IFERROR(INDEX(Volcado_Dist!$A:$ZZ, MATCH($B78, Volcado_Dist!$A:$A, 0), MATCH(T$2, Volcado_Dist!$1:$1, 0)) / SUM(INDEX(Volcado_Dist!$A:$ZZ, 0, MATCH(T$2, Volcado_Dist!$1:$1, 0))), 0)</f>
        <v>0</v>
      </c>
      <c r="U78" s="16">
        <f>IFERROR(INDEX(Volcado_Dist!$A:$ZZ, MATCH($B78, Volcado_Dist!$A:$A, 0), MATCH(U$2, Volcado_Dist!$1:$1, 0)) / SUM(INDEX(Volcado_Dist!$A:$ZZ, 0, MATCH(U$2, Volcado_Dist!$1:$1, 0))), 0)</f>
        <v>0</v>
      </c>
      <c r="V78" s="16">
        <f>IFERROR(INDEX(Volcado_Dist!$A:$ZZ, MATCH($B78, Volcado_Dist!$A:$A, 0), MATCH(V$2, Volcado_Dist!$1:$1, 0)) / SUM(INDEX(Volcado_Dist!$A:$ZZ, 0, MATCH(V$2, Volcado_Dist!$1:$1, 0))), 0)</f>
        <v>0</v>
      </c>
      <c r="W78" s="16">
        <f t="shared" si="3"/>
        <v>3.8672514447175648E-3</v>
      </c>
      <c r="X78" s="17">
        <f>IFERROR(SUM(_xlfn.XLOOKUP($B78, Volcado_Vend!$A:$A, Volcado_Vend!$C:$ZZ, 0)) / SUM(Volcado_Vend!$C:$ZZ), 0)</f>
        <v>3.9391801384953078E-4</v>
      </c>
      <c r="Y78" s="24">
        <f t="shared" si="2"/>
        <v>2.1305847292835477E-3</v>
      </c>
    </row>
    <row r="79" spans="2:25" x14ac:dyDescent="0.25">
      <c r="B79" s="15" t="s">
        <v>103</v>
      </c>
      <c r="C79" s="16">
        <f>IFERROR(INDEX(Volcado_Dist!$A:$ZZ, MATCH($B79, Volcado_Dist!$A:$A, 0), MATCH(C$2, Volcado_Dist!$1:$1, 0)) / SUM(INDEX(Volcado_Dist!$A:$ZZ, 0, MATCH(C$2, Volcado_Dist!$1:$1, 0))), 0)</f>
        <v>1.4902765072143706E-2</v>
      </c>
      <c r="D79" s="16">
        <f>IFERROR(INDEX(Volcado_Dist!$A:$ZZ, MATCH($B79, Volcado_Dist!$A:$A, 0), MATCH(D$2, Volcado_Dist!$1:$1, 0)) / SUM(INDEX(Volcado_Dist!$A:$ZZ, 0, MATCH(D$2, Volcado_Dist!$1:$1, 0))), 0)</f>
        <v>0</v>
      </c>
      <c r="E79" s="16">
        <f>IFERROR(INDEX(Volcado_Dist!$A:$ZZ, MATCH($B79, Volcado_Dist!$A:$A, 0), MATCH(E$2, Volcado_Dist!$1:$1, 0)) / SUM(INDEX(Volcado_Dist!$A:$ZZ, 0, MATCH(E$2, Volcado_Dist!$1:$1, 0))), 0)</f>
        <v>9.5692311514694959E-3</v>
      </c>
      <c r="F79" s="16">
        <f>IFERROR(INDEX(Volcado_Dist!$A:$ZZ, MATCH($B79, Volcado_Dist!$A:$A, 0), MATCH(F$2, Volcado_Dist!$1:$1, 0)) / SUM(INDEX(Volcado_Dist!$A:$ZZ, 0, MATCH(F$2, Volcado_Dist!$1:$1, 0))), 0)</f>
        <v>1.6480263878978507E-2</v>
      </c>
      <c r="G79" s="16">
        <f>IFERROR(INDEX(Volcado_Dist!$A:$ZZ, MATCH($B79, Volcado_Dist!$A:$A, 0), MATCH(G$2, Volcado_Dist!$1:$1, 0)) / SUM(INDEX(Volcado_Dist!$A:$ZZ, 0, MATCH(G$2, Volcado_Dist!$1:$1, 0))), 0)</f>
        <v>2.7057153446322E-3</v>
      </c>
      <c r="H79" s="16">
        <f>IFERROR(INDEX(Volcado_Dist!$A:$ZZ, MATCH($B79, Volcado_Dist!$A:$A, 0), MATCH(H$2, Volcado_Dist!$1:$1, 0)) / SUM(INDEX(Volcado_Dist!$A:$ZZ, 0, MATCH(H$2, Volcado_Dist!$1:$1, 0))), 0)</f>
        <v>2.2729990811803703E-2</v>
      </c>
      <c r="I79" s="16">
        <f>IFERROR(INDEX(Volcado_Dist!$A:$ZZ, MATCH($B79, Volcado_Dist!$A:$A, 0), MATCH(I$2, Volcado_Dist!$1:$1, 0)) / SUM(INDEX(Volcado_Dist!$A:$ZZ, 0, MATCH(I$2, Volcado_Dist!$1:$1, 0))), 0)</f>
        <v>1.8207754787787266E-2</v>
      </c>
      <c r="J79" s="16">
        <f>IFERROR(INDEX(Volcado_Dist!$A:$ZZ, MATCH($B79, Volcado_Dist!$A:$A, 0), MATCH(J$2, Volcado_Dist!$1:$1, 0)) / SUM(INDEX(Volcado_Dist!$A:$ZZ, 0, MATCH(J$2, Volcado_Dist!$1:$1, 0))), 0)</f>
        <v>0</v>
      </c>
      <c r="K79" s="16">
        <f>IFERROR(INDEX(Volcado_Dist!$A:$ZZ, MATCH($B79, Volcado_Dist!$A:$A, 0), MATCH(K$2, Volcado_Dist!$1:$1, 0)) / SUM(INDEX(Volcado_Dist!$A:$ZZ, 0, MATCH(K$2, Volcado_Dist!$1:$1, 0))), 0)</f>
        <v>1.9215564355513911E-2</v>
      </c>
      <c r="L79" s="16">
        <f>IFERROR(INDEX(Volcado_Dist!$A:$ZZ, MATCH($B79, Volcado_Dist!$A:$A, 0), MATCH(L$2, Volcado_Dist!$1:$1, 0)) / SUM(INDEX(Volcado_Dist!$A:$ZZ, 0, MATCH(L$2, Volcado_Dist!$1:$1, 0))), 0)</f>
        <v>1.2631961060470419E-2</v>
      </c>
      <c r="M79" s="16">
        <f>IFERROR(INDEX(Volcado_Dist!$A:$ZZ, MATCH($B79, Volcado_Dist!$A:$A, 0), MATCH(M$2, Volcado_Dist!$1:$1, 0)) / SUM(INDEX(Volcado_Dist!$A:$ZZ, 0, MATCH(M$2, Volcado_Dist!$1:$1, 0))), 0)</f>
        <v>7.6977671261212882E-2</v>
      </c>
      <c r="N79" s="16">
        <f>IFERROR(INDEX(Volcado_Dist!$A:$ZZ, MATCH($B79, Volcado_Dist!$A:$A, 0), MATCH(N$2, Volcado_Dist!$1:$1, 0)) / SUM(INDEX(Volcado_Dist!$A:$ZZ, 0, MATCH(N$2, Volcado_Dist!$1:$1, 0))), 0)</f>
        <v>0</v>
      </c>
      <c r="O79" s="16">
        <f>IFERROR(INDEX(Volcado_Dist!$A:$ZZ, MATCH($B79, Volcado_Dist!$A:$A, 0), MATCH(O$2, Volcado_Dist!$1:$1, 0)) / SUM(INDEX(Volcado_Dist!$A:$ZZ, 0, MATCH(O$2, Volcado_Dist!$1:$1, 0))), 0)</f>
        <v>0</v>
      </c>
      <c r="P79" s="16">
        <f>IFERROR(INDEX(Volcado_Dist!$A:$ZZ, MATCH($B79, Volcado_Dist!$A:$A, 0), MATCH(P$2, Volcado_Dist!$1:$1, 0)) / SUM(INDEX(Volcado_Dist!$A:$ZZ, 0, MATCH(P$2, Volcado_Dist!$1:$1, 0))), 0)</f>
        <v>1.2330021678806908E-2</v>
      </c>
      <c r="Q79" s="16">
        <f>IFERROR(INDEX(Volcado_Dist!$A:$ZZ, MATCH($B79, Volcado_Dist!$A:$A, 0), MATCH(Q$2, Volcado_Dist!$1:$1, 0)) / SUM(INDEX(Volcado_Dist!$A:$ZZ, 0, MATCH(Q$2, Volcado_Dist!$1:$1, 0))), 0)</f>
        <v>9.1107586465572574E-3</v>
      </c>
      <c r="R79" s="16">
        <f>IFERROR(INDEX(Volcado_Dist!$A:$ZZ, MATCH($B79, Volcado_Dist!$A:$A, 0), MATCH(R$2, Volcado_Dist!$1:$1, 0)) / SUM(INDEX(Volcado_Dist!$A:$ZZ, 0, MATCH(R$2, Volcado_Dist!$1:$1, 0))), 0)</f>
        <v>0</v>
      </c>
      <c r="S79" s="16">
        <f>IFERROR(INDEX(Volcado_Dist!$A:$ZZ, MATCH($B79, Volcado_Dist!$A:$A, 0), MATCH(S$2, Volcado_Dist!$1:$1, 0)) / SUM(INDEX(Volcado_Dist!$A:$ZZ, 0, MATCH(S$2, Volcado_Dist!$1:$1, 0))), 0)</f>
        <v>1.4689470779848829E-2</v>
      </c>
      <c r="T79" s="16">
        <f>IFERROR(INDEX(Volcado_Dist!$A:$ZZ, MATCH($B79, Volcado_Dist!$A:$A, 0), MATCH(T$2, Volcado_Dist!$1:$1, 0)) / SUM(INDEX(Volcado_Dist!$A:$ZZ, 0, MATCH(T$2, Volcado_Dist!$1:$1, 0))), 0)</f>
        <v>2.5258335056788504E-2</v>
      </c>
      <c r="U79" s="16">
        <f>IFERROR(INDEX(Volcado_Dist!$A:$ZZ, MATCH($B79, Volcado_Dist!$A:$A, 0), MATCH(U$2, Volcado_Dist!$1:$1, 0)) / SUM(INDEX(Volcado_Dist!$A:$ZZ, 0, MATCH(U$2, Volcado_Dist!$1:$1, 0))), 0)</f>
        <v>2.3442280451865145E-2</v>
      </c>
      <c r="V79" s="16">
        <f>IFERROR(INDEX(Volcado_Dist!$A:$ZZ, MATCH($B79, Volcado_Dist!$A:$A, 0), MATCH(V$2, Volcado_Dist!$1:$1, 0)) / SUM(INDEX(Volcado_Dist!$A:$ZZ, 0, MATCH(V$2, Volcado_Dist!$1:$1, 0))), 0)</f>
        <v>2.1789495335076941E-2</v>
      </c>
      <c r="W79" s="16">
        <f t="shared" si="3"/>
        <v>1.5002063983647784E-2</v>
      </c>
      <c r="X79" s="17">
        <f>IFERROR(SUM(_xlfn.XLOOKUP($B79, Volcado_Vend!$A:$A, Volcado_Vend!$C:$ZZ, 0)) / SUM(Volcado_Vend!$C:$ZZ), 0)</f>
        <v>2.5200070720254601E-2</v>
      </c>
      <c r="Y79" s="24">
        <f t="shared" si="2"/>
        <v>2.0101067351951191E-2</v>
      </c>
    </row>
    <row r="80" spans="2:25" x14ac:dyDescent="0.25">
      <c r="B80" s="15" t="s">
        <v>104</v>
      </c>
      <c r="C80" s="16">
        <f>IFERROR(INDEX(Volcado_Dist!$A:$ZZ, MATCH($B80, Volcado_Dist!$A:$A, 0), MATCH(C$2, Volcado_Dist!$1:$1, 0)) / SUM(INDEX(Volcado_Dist!$A:$ZZ, 0, MATCH(C$2, Volcado_Dist!$1:$1, 0))), 0)</f>
        <v>2.062324791217227E-4</v>
      </c>
      <c r="D80" s="16">
        <f>IFERROR(INDEX(Volcado_Dist!$A:$ZZ, MATCH($B80, Volcado_Dist!$A:$A, 0), MATCH(D$2, Volcado_Dist!$1:$1, 0)) / SUM(INDEX(Volcado_Dist!$A:$ZZ, 0, MATCH(D$2, Volcado_Dist!$1:$1, 0))), 0)</f>
        <v>0</v>
      </c>
      <c r="E80" s="16">
        <f>IFERROR(INDEX(Volcado_Dist!$A:$ZZ, MATCH($B80, Volcado_Dist!$A:$A, 0), MATCH(E$2, Volcado_Dist!$1:$1, 0)) / SUM(INDEX(Volcado_Dist!$A:$ZZ, 0, MATCH(E$2, Volcado_Dist!$1:$1, 0))), 0)</f>
        <v>0</v>
      </c>
      <c r="F80" s="16">
        <f>IFERROR(INDEX(Volcado_Dist!$A:$ZZ, MATCH($B80, Volcado_Dist!$A:$A, 0), MATCH(F$2, Volcado_Dist!$1:$1, 0)) / SUM(INDEX(Volcado_Dist!$A:$ZZ, 0, MATCH(F$2, Volcado_Dist!$1:$1, 0))), 0)</f>
        <v>3.4361964336590777E-5</v>
      </c>
      <c r="G80" s="16">
        <f>IFERROR(INDEX(Volcado_Dist!$A:$ZZ, MATCH($B80, Volcado_Dist!$A:$A, 0), MATCH(G$2, Volcado_Dist!$1:$1, 0)) / SUM(INDEX(Volcado_Dist!$A:$ZZ, 0, MATCH(G$2, Volcado_Dist!$1:$1, 0))), 0)</f>
        <v>0</v>
      </c>
      <c r="H80" s="16">
        <f>IFERROR(INDEX(Volcado_Dist!$A:$ZZ, MATCH($B80, Volcado_Dist!$A:$A, 0), MATCH(H$2, Volcado_Dist!$1:$1, 0)) / SUM(INDEX(Volcado_Dist!$A:$ZZ, 0, MATCH(H$2, Volcado_Dist!$1:$1, 0))), 0)</f>
        <v>0</v>
      </c>
      <c r="I80" s="16">
        <f>IFERROR(INDEX(Volcado_Dist!$A:$ZZ, MATCH($B80, Volcado_Dist!$A:$A, 0), MATCH(I$2, Volcado_Dist!$1:$1, 0)) / SUM(INDEX(Volcado_Dist!$A:$ZZ, 0, MATCH(I$2, Volcado_Dist!$1:$1, 0))), 0)</f>
        <v>2.9670100222425498E-3</v>
      </c>
      <c r="J80" s="16">
        <f>IFERROR(INDEX(Volcado_Dist!$A:$ZZ, MATCH($B80, Volcado_Dist!$A:$A, 0), MATCH(J$2, Volcado_Dist!$1:$1, 0)) / SUM(INDEX(Volcado_Dist!$A:$ZZ, 0, MATCH(J$2, Volcado_Dist!$1:$1, 0))), 0)</f>
        <v>0</v>
      </c>
      <c r="K80" s="16">
        <f>IFERROR(INDEX(Volcado_Dist!$A:$ZZ, MATCH($B80, Volcado_Dist!$A:$A, 0), MATCH(K$2, Volcado_Dist!$1:$1, 0)) / SUM(INDEX(Volcado_Dist!$A:$ZZ, 0, MATCH(K$2, Volcado_Dist!$1:$1, 0))), 0)</f>
        <v>-2.1973581805113284E-5</v>
      </c>
      <c r="L80" s="16">
        <f>IFERROR(INDEX(Volcado_Dist!$A:$ZZ, MATCH($B80, Volcado_Dist!$A:$A, 0), MATCH(L$2, Volcado_Dist!$1:$1, 0)) / SUM(INDEX(Volcado_Dist!$A:$ZZ, 0, MATCH(L$2, Volcado_Dist!$1:$1, 0))), 0)</f>
        <v>0</v>
      </c>
      <c r="M80" s="16">
        <f>IFERROR(INDEX(Volcado_Dist!$A:$ZZ, MATCH($B80, Volcado_Dist!$A:$A, 0), MATCH(M$2, Volcado_Dist!$1:$1, 0)) / SUM(INDEX(Volcado_Dist!$A:$ZZ, 0, MATCH(M$2, Volcado_Dist!$1:$1, 0))), 0)</f>
        <v>1.6125931733906068E-3</v>
      </c>
      <c r="N80" s="16">
        <f>IFERROR(INDEX(Volcado_Dist!$A:$ZZ, MATCH($B80, Volcado_Dist!$A:$A, 0), MATCH(N$2, Volcado_Dist!$1:$1, 0)) / SUM(INDEX(Volcado_Dist!$A:$ZZ, 0, MATCH(N$2, Volcado_Dist!$1:$1, 0))), 0)</f>
        <v>0</v>
      </c>
      <c r="O80" s="16">
        <f>IFERROR(INDEX(Volcado_Dist!$A:$ZZ, MATCH($B80, Volcado_Dist!$A:$A, 0), MATCH(O$2, Volcado_Dist!$1:$1, 0)) / SUM(INDEX(Volcado_Dist!$A:$ZZ, 0, MATCH(O$2, Volcado_Dist!$1:$1, 0))), 0)</f>
        <v>0</v>
      </c>
      <c r="P80" s="16">
        <f>IFERROR(INDEX(Volcado_Dist!$A:$ZZ, MATCH($B80, Volcado_Dist!$A:$A, 0), MATCH(P$2, Volcado_Dist!$1:$1, 0)) / SUM(INDEX(Volcado_Dist!$A:$ZZ, 0, MATCH(P$2, Volcado_Dist!$1:$1, 0))), 0)</f>
        <v>1.0312769009432022E-3</v>
      </c>
      <c r="Q80" s="16">
        <f>IFERROR(INDEX(Volcado_Dist!$A:$ZZ, MATCH($B80, Volcado_Dist!$A:$A, 0), MATCH(Q$2, Volcado_Dist!$1:$1, 0)) / SUM(INDEX(Volcado_Dist!$A:$ZZ, 0, MATCH(Q$2, Volcado_Dist!$1:$1, 0))), 0)</f>
        <v>-2.1190157445752825E-5</v>
      </c>
      <c r="R80" s="16">
        <f>IFERROR(INDEX(Volcado_Dist!$A:$ZZ, MATCH($B80, Volcado_Dist!$A:$A, 0), MATCH(R$2, Volcado_Dist!$1:$1, 0)) / SUM(INDEX(Volcado_Dist!$A:$ZZ, 0, MATCH(R$2, Volcado_Dist!$1:$1, 0))), 0)</f>
        <v>0</v>
      </c>
      <c r="S80" s="16">
        <f>IFERROR(INDEX(Volcado_Dist!$A:$ZZ, MATCH($B80, Volcado_Dist!$A:$A, 0), MATCH(S$2, Volcado_Dist!$1:$1, 0)) / SUM(INDEX(Volcado_Dist!$A:$ZZ, 0, MATCH(S$2, Volcado_Dist!$1:$1, 0))), 0)</f>
        <v>0</v>
      </c>
      <c r="T80" s="16">
        <f>IFERROR(INDEX(Volcado_Dist!$A:$ZZ, MATCH($B80, Volcado_Dist!$A:$A, 0), MATCH(T$2, Volcado_Dist!$1:$1, 0)) / SUM(INDEX(Volcado_Dist!$A:$ZZ, 0, MATCH(T$2, Volcado_Dist!$1:$1, 0))), 0)</f>
        <v>0</v>
      </c>
      <c r="U80" s="16">
        <f>IFERROR(INDEX(Volcado_Dist!$A:$ZZ, MATCH($B80, Volcado_Dist!$A:$A, 0), MATCH(U$2, Volcado_Dist!$1:$1, 0)) / SUM(INDEX(Volcado_Dist!$A:$ZZ, 0, MATCH(U$2, Volcado_Dist!$1:$1, 0))), 0)</f>
        <v>0</v>
      </c>
      <c r="V80" s="16">
        <f>IFERROR(INDEX(Volcado_Dist!$A:$ZZ, MATCH($B80, Volcado_Dist!$A:$A, 0), MATCH(V$2, Volcado_Dist!$1:$1, 0)) / SUM(INDEX(Volcado_Dist!$A:$ZZ, 0, MATCH(V$2, Volcado_Dist!$1:$1, 0))), 0)</f>
        <v>6.3829850657795551E-4</v>
      </c>
      <c r="W80" s="16">
        <f t="shared" si="3"/>
        <v>3.223304653680881E-4</v>
      </c>
      <c r="X80" s="17">
        <f>IFERROR(SUM(_xlfn.XLOOKUP($B80, Volcado_Vend!$A:$A, Volcado_Vend!$C:$ZZ, 0)) / SUM(Volcado_Vend!$C:$ZZ), 0)</f>
        <v>6.5030051129460684E-3</v>
      </c>
      <c r="Y80" s="24">
        <f t="shared" si="2"/>
        <v>3.4126677891570781E-3</v>
      </c>
    </row>
    <row r="81" spans="2:25" x14ac:dyDescent="0.25">
      <c r="B81" s="15" t="s">
        <v>105</v>
      </c>
      <c r="C81" s="16">
        <f>IFERROR(INDEX(Volcado_Dist!$A:$ZZ, MATCH($B81, Volcado_Dist!$A:$A, 0), MATCH(C$2, Volcado_Dist!$1:$1, 0)) / SUM(INDEX(Volcado_Dist!$A:$ZZ, 0, MATCH(C$2, Volcado_Dist!$1:$1, 0))), 0)</f>
        <v>1.3230922011946472E-3</v>
      </c>
      <c r="D81" s="16">
        <f>IFERROR(INDEX(Volcado_Dist!$A:$ZZ, MATCH($B81, Volcado_Dist!$A:$A, 0), MATCH(D$2, Volcado_Dist!$1:$1, 0)) / SUM(INDEX(Volcado_Dist!$A:$ZZ, 0, MATCH(D$2, Volcado_Dist!$1:$1, 0))), 0)</f>
        <v>0</v>
      </c>
      <c r="E81" s="16">
        <f>IFERROR(INDEX(Volcado_Dist!$A:$ZZ, MATCH($B81, Volcado_Dist!$A:$A, 0), MATCH(E$2, Volcado_Dist!$1:$1, 0)) / SUM(INDEX(Volcado_Dist!$A:$ZZ, 0, MATCH(E$2, Volcado_Dist!$1:$1, 0))), 0)</f>
        <v>2.5355981702981927E-3</v>
      </c>
      <c r="F81" s="16">
        <f>IFERROR(INDEX(Volcado_Dist!$A:$ZZ, MATCH($B81, Volcado_Dist!$A:$A, 0), MATCH(F$2, Volcado_Dist!$1:$1, 0)) / SUM(INDEX(Volcado_Dist!$A:$ZZ, 0, MATCH(F$2, Volcado_Dist!$1:$1, 0))), 0)</f>
        <v>2.495134239092887E-3</v>
      </c>
      <c r="G81" s="16">
        <f>IFERROR(INDEX(Volcado_Dist!$A:$ZZ, MATCH($B81, Volcado_Dist!$A:$A, 0), MATCH(G$2, Volcado_Dist!$1:$1, 0)) / SUM(INDEX(Volcado_Dist!$A:$ZZ, 0, MATCH(G$2, Volcado_Dist!$1:$1, 0))), 0)</f>
        <v>0</v>
      </c>
      <c r="H81" s="16">
        <f>IFERROR(INDEX(Volcado_Dist!$A:$ZZ, MATCH($B81, Volcado_Dist!$A:$A, 0), MATCH(H$2, Volcado_Dist!$1:$1, 0)) / SUM(INDEX(Volcado_Dist!$A:$ZZ, 0, MATCH(H$2, Volcado_Dist!$1:$1, 0))), 0)</f>
        <v>3.5767494406871965E-3</v>
      </c>
      <c r="I81" s="16">
        <f>IFERROR(INDEX(Volcado_Dist!$A:$ZZ, MATCH($B81, Volcado_Dist!$A:$A, 0), MATCH(I$2, Volcado_Dist!$1:$1, 0)) / SUM(INDEX(Volcado_Dist!$A:$ZZ, 0, MATCH(I$2, Volcado_Dist!$1:$1, 0))), 0)</f>
        <v>5.0168281795786645E-3</v>
      </c>
      <c r="J81" s="16">
        <f>IFERROR(INDEX(Volcado_Dist!$A:$ZZ, MATCH($B81, Volcado_Dist!$A:$A, 0), MATCH(J$2, Volcado_Dist!$1:$1, 0)) / SUM(INDEX(Volcado_Dist!$A:$ZZ, 0, MATCH(J$2, Volcado_Dist!$1:$1, 0))), 0)</f>
        <v>0</v>
      </c>
      <c r="K81" s="16">
        <f>IFERROR(INDEX(Volcado_Dist!$A:$ZZ, MATCH($B81, Volcado_Dist!$A:$A, 0), MATCH(K$2, Volcado_Dist!$1:$1, 0)) / SUM(INDEX(Volcado_Dist!$A:$ZZ, 0, MATCH(K$2, Volcado_Dist!$1:$1, 0))), 0)</f>
        <v>2.3675172396137338E-3</v>
      </c>
      <c r="L81" s="16">
        <f>IFERROR(INDEX(Volcado_Dist!$A:$ZZ, MATCH($B81, Volcado_Dist!$A:$A, 0), MATCH(L$2, Volcado_Dist!$1:$1, 0)) / SUM(INDEX(Volcado_Dist!$A:$ZZ, 0, MATCH(L$2, Volcado_Dist!$1:$1, 0))), 0)</f>
        <v>1.2033347818726657E-3</v>
      </c>
      <c r="M81" s="16">
        <f>IFERROR(INDEX(Volcado_Dist!$A:$ZZ, MATCH($B81, Volcado_Dist!$A:$A, 0), MATCH(M$2, Volcado_Dist!$1:$1, 0)) / SUM(INDEX(Volcado_Dist!$A:$ZZ, 0, MATCH(M$2, Volcado_Dist!$1:$1, 0))), 0)</f>
        <v>3.0855824527614793E-2</v>
      </c>
      <c r="N81" s="16">
        <f>IFERROR(INDEX(Volcado_Dist!$A:$ZZ, MATCH($B81, Volcado_Dist!$A:$A, 0), MATCH(N$2, Volcado_Dist!$1:$1, 0)) / SUM(INDEX(Volcado_Dist!$A:$ZZ, 0, MATCH(N$2, Volcado_Dist!$1:$1, 0))), 0)</f>
        <v>0</v>
      </c>
      <c r="O81" s="16">
        <f>IFERROR(INDEX(Volcado_Dist!$A:$ZZ, MATCH($B81, Volcado_Dist!$A:$A, 0), MATCH(O$2, Volcado_Dist!$1:$1, 0)) / SUM(INDEX(Volcado_Dist!$A:$ZZ, 0, MATCH(O$2, Volcado_Dist!$1:$1, 0))), 0)</f>
        <v>9.7628281904588458E-4</v>
      </c>
      <c r="P81" s="16">
        <f>IFERROR(INDEX(Volcado_Dist!$A:$ZZ, MATCH($B81, Volcado_Dist!$A:$A, 0), MATCH(P$2, Volcado_Dist!$1:$1, 0)) / SUM(INDEX(Volcado_Dist!$A:$ZZ, 0, MATCH(P$2, Volcado_Dist!$1:$1, 0))), 0)</f>
        <v>1.7061454515112625E-3</v>
      </c>
      <c r="Q81" s="16">
        <f>IFERROR(INDEX(Volcado_Dist!$A:$ZZ, MATCH($B81, Volcado_Dist!$A:$A, 0), MATCH(Q$2, Volcado_Dist!$1:$1, 0)) / SUM(INDEX(Volcado_Dist!$A:$ZZ, 0, MATCH(Q$2, Volcado_Dist!$1:$1, 0))), 0)</f>
        <v>6.2601779425452671E-3</v>
      </c>
      <c r="R81" s="16">
        <f>IFERROR(INDEX(Volcado_Dist!$A:$ZZ, MATCH($B81, Volcado_Dist!$A:$A, 0), MATCH(R$2, Volcado_Dist!$1:$1, 0)) / SUM(INDEX(Volcado_Dist!$A:$ZZ, 0, MATCH(R$2, Volcado_Dist!$1:$1, 0))), 0)</f>
        <v>0</v>
      </c>
      <c r="S81" s="16">
        <f>IFERROR(INDEX(Volcado_Dist!$A:$ZZ, MATCH($B81, Volcado_Dist!$A:$A, 0), MATCH(S$2, Volcado_Dist!$1:$1, 0)) / SUM(INDEX(Volcado_Dist!$A:$ZZ, 0, MATCH(S$2, Volcado_Dist!$1:$1, 0))), 0)</f>
        <v>3.1998734541778984E-4</v>
      </c>
      <c r="T81" s="16">
        <f>IFERROR(INDEX(Volcado_Dist!$A:$ZZ, MATCH($B81, Volcado_Dist!$A:$A, 0), MATCH(T$2, Volcado_Dist!$1:$1, 0)) / SUM(INDEX(Volcado_Dist!$A:$ZZ, 0, MATCH(T$2, Volcado_Dist!$1:$1, 0))), 0)</f>
        <v>7.3995683989441265E-4</v>
      </c>
      <c r="U81" s="16">
        <f>IFERROR(INDEX(Volcado_Dist!$A:$ZZ, MATCH($B81, Volcado_Dist!$A:$A, 0), MATCH(U$2, Volcado_Dist!$1:$1, 0)) / SUM(INDEX(Volcado_Dist!$A:$ZZ, 0, MATCH(U$2, Volcado_Dist!$1:$1, 0))), 0)</f>
        <v>1.2901270225883995E-2</v>
      </c>
      <c r="V81" s="16">
        <f>IFERROR(INDEX(Volcado_Dist!$A:$ZZ, MATCH($B81, Volcado_Dist!$A:$A, 0), MATCH(V$2, Volcado_Dist!$1:$1, 0)) / SUM(INDEX(Volcado_Dist!$A:$ZZ, 0, MATCH(V$2, Volcado_Dist!$1:$1, 0))), 0)</f>
        <v>7.2564461800441234E-3</v>
      </c>
      <c r="W81" s="16">
        <f t="shared" si="3"/>
        <v>3.9767172792147757E-3</v>
      </c>
      <c r="X81" s="17">
        <f>IFERROR(SUM(_xlfn.XLOOKUP($B81, Volcado_Vend!$A:$A, Volcado_Vend!$C:$ZZ, 0)) / SUM(Volcado_Vend!$C:$ZZ), 0)</f>
        <v>6.889214375639839E-3</v>
      </c>
      <c r="Y81" s="24">
        <f t="shared" si="2"/>
        <v>5.4329658274273069E-3</v>
      </c>
    </row>
    <row r="82" spans="2:25" x14ac:dyDescent="0.25">
      <c r="B82" s="15" t="s">
        <v>106</v>
      </c>
      <c r="C82" s="16">
        <f>IFERROR(INDEX(Volcado_Dist!$A:$ZZ, MATCH($B82, Volcado_Dist!$A:$A, 0), MATCH(C$2, Volcado_Dist!$1:$1, 0)) / SUM(INDEX(Volcado_Dist!$A:$ZZ, 0, MATCH(C$2, Volcado_Dist!$1:$1, 0))), 0)</f>
        <v>0</v>
      </c>
      <c r="D82" s="16">
        <f>IFERROR(INDEX(Volcado_Dist!$A:$ZZ, MATCH($B82, Volcado_Dist!$A:$A, 0), MATCH(D$2, Volcado_Dist!$1:$1, 0)) / SUM(INDEX(Volcado_Dist!$A:$ZZ, 0, MATCH(D$2, Volcado_Dist!$1:$1, 0))), 0)</f>
        <v>0</v>
      </c>
      <c r="E82" s="16">
        <f>IFERROR(INDEX(Volcado_Dist!$A:$ZZ, MATCH($B82, Volcado_Dist!$A:$A, 0), MATCH(E$2, Volcado_Dist!$1:$1, 0)) / SUM(INDEX(Volcado_Dist!$A:$ZZ, 0, MATCH(E$2, Volcado_Dist!$1:$1, 0))), 0)</f>
        <v>0</v>
      </c>
      <c r="F82" s="16">
        <f>IFERROR(INDEX(Volcado_Dist!$A:$ZZ, MATCH($B82, Volcado_Dist!$A:$A, 0), MATCH(F$2, Volcado_Dist!$1:$1, 0)) / SUM(INDEX(Volcado_Dist!$A:$ZZ, 0, MATCH(F$2, Volcado_Dist!$1:$1, 0))), 0)</f>
        <v>0</v>
      </c>
      <c r="G82" s="16">
        <f>IFERROR(INDEX(Volcado_Dist!$A:$ZZ, MATCH($B82, Volcado_Dist!$A:$A, 0), MATCH(G$2, Volcado_Dist!$1:$1, 0)) / SUM(INDEX(Volcado_Dist!$A:$ZZ, 0, MATCH(G$2, Volcado_Dist!$1:$1, 0))), 0)</f>
        <v>0</v>
      </c>
      <c r="H82" s="16">
        <f>IFERROR(INDEX(Volcado_Dist!$A:$ZZ, MATCH($B82, Volcado_Dist!$A:$A, 0), MATCH(H$2, Volcado_Dist!$1:$1, 0)) / SUM(INDEX(Volcado_Dist!$A:$ZZ, 0, MATCH(H$2, Volcado_Dist!$1:$1, 0))), 0)</f>
        <v>0</v>
      </c>
      <c r="I82" s="16">
        <f>IFERROR(INDEX(Volcado_Dist!$A:$ZZ, MATCH($B82, Volcado_Dist!$A:$A, 0), MATCH(I$2, Volcado_Dist!$1:$1, 0)) / SUM(INDEX(Volcado_Dist!$A:$ZZ, 0, MATCH(I$2, Volcado_Dist!$1:$1, 0))), 0)</f>
        <v>9.1478081469715299E-5</v>
      </c>
      <c r="J82" s="16">
        <f>IFERROR(INDEX(Volcado_Dist!$A:$ZZ, MATCH($B82, Volcado_Dist!$A:$A, 0), MATCH(J$2, Volcado_Dist!$1:$1, 0)) / SUM(INDEX(Volcado_Dist!$A:$ZZ, 0, MATCH(J$2, Volcado_Dist!$1:$1, 0))), 0)</f>
        <v>0</v>
      </c>
      <c r="K82" s="16">
        <f>IFERROR(INDEX(Volcado_Dist!$A:$ZZ, MATCH($B82, Volcado_Dist!$A:$A, 0), MATCH(K$2, Volcado_Dist!$1:$1, 0)) / SUM(INDEX(Volcado_Dist!$A:$ZZ, 0, MATCH(K$2, Volcado_Dist!$1:$1, 0))), 0)</f>
        <v>1.171319030107278E-4</v>
      </c>
      <c r="L82" s="16">
        <f>IFERROR(INDEX(Volcado_Dist!$A:$ZZ, MATCH($B82, Volcado_Dist!$A:$A, 0), MATCH(L$2, Volcado_Dist!$1:$1, 0)) / SUM(INDEX(Volcado_Dist!$A:$ZZ, 0, MATCH(L$2, Volcado_Dist!$1:$1, 0))), 0)</f>
        <v>0</v>
      </c>
      <c r="M82" s="16">
        <f>IFERROR(INDEX(Volcado_Dist!$A:$ZZ, MATCH($B82, Volcado_Dist!$A:$A, 0), MATCH(M$2, Volcado_Dist!$1:$1, 0)) / SUM(INDEX(Volcado_Dist!$A:$ZZ, 0, MATCH(M$2, Volcado_Dist!$1:$1, 0))), 0)</f>
        <v>0</v>
      </c>
      <c r="N82" s="16">
        <f>IFERROR(INDEX(Volcado_Dist!$A:$ZZ, MATCH($B82, Volcado_Dist!$A:$A, 0), MATCH(N$2, Volcado_Dist!$1:$1, 0)) / SUM(INDEX(Volcado_Dist!$A:$ZZ, 0, MATCH(N$2, Volcado_Dist!$1:$1, 0))), 0)</f>
        <v>0</v>
      </c>
      <c r="O82" s="16">
        <f>IFERROR(INDEX(Volcado_Dist!$A:$ZZ, MATCH($B82, Volcado_Dist!$A:$A, 0), MATCH(O$2, Volcado_Dist!$1:$1, 0)) / SUM(INDEX(Volcado_Dist!$A:$ZZ, 0, MATCH(O$2, Volcado_Dist!$1:$1, 0))), 0)</f>
        <v>0</v>
      </c>
      <c r="P82" s="16">
        <f>IFERROR(INDEX(Volcado_Dist!$A:$ZZ, MATCH($B82, Volcado_Dist!$A:$A, 0), MATCH(P$2, Volcado_Dist!$1:$1, 0)) / SUM(INDEX(Volcado_Dist!$A:$ZZ, 0, MATCH(P$2, Volcado_Dist!$1:$1, 0))), 0)</f>
        <v>0</v>
      </c>
      <c r="Q82" s="16">
        <f>IFERROR(INDEX(Volcado_Dist!$A:$ZZ, MATCH($B82, Volcado_Dist!$A:$A, 0), MATCH(Q$2, Volcado_Dist!$1:$1, 0)) / SUM(INDEX(Volcado_Dist!$A:$ZZ, 0, MATCH(Q$2, Volcado_Dist!$1:$1, 0))), 0)</f>
        <v>0</v>
      </c>
      <c r="R82" s="16">
        <f>IFERROR(INDEX(Volcado_Dist!$A:$ZZ, MATCH($B82, Volcado_Dist!$A:$A, 0), MATCH(R$2, Volcado_Dist!$1:$1, 0)) / SUM(INDEX(Volcado_Dist!$A:$ZZ, 0, MATCH(R$2, Volcado_Dist!$1:$1, 0))), 0)</f>
        <v>0</v>
      </c>
      <c r="S82" s="16">
        <f>IFERROR(INDEX(Volcado_Dist!$A:$ZZ, MATCH($B82, Volcado_Dist!$A:$A, 0), MATCH(S$2, Volcado_Dist!$1:$1, 0)) / SUM(INDEX(Volcado_Dist!$A:$ZZ, 0, MATCH(S$2, Volcado_Dist!$1:$1, 0))), 0)</f>
        <v>0</v>
      </c>
      <c r="T82" s="16">
        <f>IFERROR(INDEX(Volcado_Dist!$A:$ZZ, MATCH($B82, Volcado_Dist!$A:$A, 0), MATCH(T$2, Volcado_Dist!$1:$1, 0)) / SUM(INDEX(Volcado_Dist!$A:$ZZ, 0, MATCH(T$2, Volcado_Dist!$1:$1, 0))), 0)</f>
        <v>0</v>
      </c>
      <c r="U82" s="16">
        <f>IFERROR(INDEX(Volcado_Dist!$A:$ZZ, MATCH($B82, Volcado_Dist!$A:$A, 0), MATCH(U$2, Volcado_Dist!$1:$1, 0)) / SUM(INDEX(Volcado_Dist!$A:$ZZ, 0, MATCH(U$2, Volcado_Dist!$1:$1, 0))), 0)</f>
        <v>0</v>
      </c>
      <c r="V82" s="16">
        <f>IFERROR(INDEX(Volcado_Dist!$A:$ZZ, MATCH($B82, Volcado_Dist!$A:$A, 0), MATCH(V$2, Volcado_Dist!$1:$1, 0)) / SUM(INDEX(Volcado_Dist!$A:$ZZ, 0, MATCH(V$2, Volcado_Dist!$1:$1, 0))), 0)</f>
        <v>0</v>
      </c>
      <c r="W82" s="16">
        <f t="shared" si="3"/>
        <v>1.0430499224022154E-5</v>
      </c>
      <c r="X82" s="17">
        <f>IFERROR(SUM(_xlfn.XLOOKUP($B82, Volcado_Vend!$A:$A, Volcado_Vend!$C:$ZZ, 0)) / SUM(Volcado_Vend!$C:$ZZ), 0)</f>
        <v>0</v>
      </c>
      <c r="Y82" s="24">
        <f t="shared" si="2"/>
        <v>5.2152496120110771E-6</v>
      </c>
    </row>
    <row r="83" spans="2:25" x14ac:dyDescent="0.25">
      <c r="B83" s="15" t="s">
        <v>107</v>
      </c>
      <c r="C83" s="16">
        <f>IFERROR(INDEX(Volcado_Dist!$A:$ZZ, MATCH($B83, Volcado_Dist!$A:$A, 0), MATCH(C$2, Volcado_Dist!$1:$1, 0)) / SUM(INDEX(Volcado_Dist!$A:$ZZ, 0, MATCH(C$2, Volcado_Dist!$1:$1, 0))), 0)</f>
        <v>2.4565220892685913E-2</v>
      </c>
      <c r="D83" s="16">
        <f>IFERROR(INDEX(Volcado_Dist!$A:$ZZ, MATCH($B83, Volcado_Dist!$A:$A, 0), MATCH(D$2, Volcado_Dist!$1:$1, 0)) / SUM(INDEX(Volcado_Dist!$A:$ZZ, 0, MATCH(D$2, Volcado_Dist!$1:$1, 0))), 0)</f>
        <v>0</v>
      </c>
      <c r="E83" s="16">
        <f>IFERROR(INDEX(Volcado_Dist!$A:$ZZ, MATCH($B83, Volcado_Dist!$A:$A, 0), MATCH(E$2, Volcado_Dist!$1:$1, 0)) / SUM(INDEX(Volcado_Dist!$A:$ZZ, 0, MATCH(E$2, Volcado_Dist!$1:$1, 0))), 0)</f>
        <v>1.3110809834783025E-2</v>
      </c>
      <c r="F83" s="16">
        <f>IFERROR(INDEX(Volcado_Dist!$A:$ZZ, MATCH($B83, Volcado_Dist!$A:$A, 0), MATCH(F$2, Volcado_Dist!$1:$1, 0)) / SUM(INDEX(Volcado_Dist!$A:$ZZ, 0, MATCH(F$2, Volcado_Dist!$1:$1, 0))), 0)</f>
        <v>1.8463558451406261E-2</v>
      </c>
      <c r="G83" s="16">
        <f>IFERROR(INDEX(Volcado_Dist!$A:$ZZ, MATCH($B83, Volcado_Dist!$A:$A, 0), MATCH(G$2, Volcado_Dist!$1:$1, 0)) / SUM(INDEX(Volcado_Dist!$A:$ZZ, 0, MATCH(G$2, Volcado_Dist!$1:$1, 0))), 0)</f>
        <v>0</v>
      </c>
      <c r="H83" s="16">
        <f>IFERROR(INDEX(Volcado_Dist!$A:$ZZ, MATCH($B83, Volcado_Dist!$A:$A, 0), MATCH(H$2, Volcado_Dist!$1:$1, 0)) / SUM(INDEX(Volcado_Dist!$A:$ZZ, 0, MATCH(H$2, Volcado_Dist!$1:$1, 0))), 0)</f>
        <v>0</v>
      </c>
      <c r="I83" s="16">
        <f>IFERROR(INDEX(Volcado_Dist!$A:$ZZ, MATCH($B83, Volcado_Dist!$A:$A, 0), MATCH(I$2, Volcado_Dist!$1:$1, 0)) / SUM(INDEX(Volcado_Dist!$A:$ZZ, 0, MATCH(I$2, Volcado_Dist!$1:$1, 0))), 0)</f>
        <v>2.2497295842109775E-2</v>
      </c>
      <c r="J83" s="16">
        <f>IFERROR(INDEX(Volcado_Dist!$A:$ZZ, MATCH($B83, Volcado_Dist!$A:$A, 0), MATCH(J$2, Volcado_Dist!$1:$1, 0)) / SUM(INDEX(Volcado_Dist!$A:$ZZ, 0, MATCH(J$2, Volcado_Dist!$1:$1, 0))), 0)</f>
        <v>0</v>
      </c>
      <c r="K83" s="16">
        <f>IFERROR(INDEX(Volcado_Dist!$A:$ZZ, MATCH($B83, Volcado_Dist!$A:$A, 0), MATCH(K$2, Volcado_Dist!$1:$1, 0)) / SUM(INDEX(Volcado_Dist!$A:$ZZ, 0, MATCH(K$2, Volcado_Dist!$1:$1, 0))), 0)</f>
        <v>1.6898002011332319E-2</v>
      </c>
      <c r="L83" s="16">
        <f>IFERROR(INDEX(Volcado_Dist!$A:$ZZ, MATCH($B83, Volcado_Dist!$A:$A, 0), MATCH(L$2, Volcado_Dist!$1:$1, 0)) / SUM(INDEX(Volcado_Dist!$A:$ZZ, 0, MATCH(L$2, Volcado_Dist!$1:$1, 0))), 0)</f>
        <v>1.5053877130899293E-2</v>
      </c>
      <c r="M83" s="16">
        <f>IFERROR(INDEX(Volcado_Dist!$A:$ZZ, MATCH($B83, Volcado_Dist!$A:$A, 0), MATCH(M$2, Volcado_Dist!$1:$1, 0)) / SUM(INDEX(Volcado_Dist!$A:$ZZ, 0, MATCH(M$2, Volcado_Dist!$1:$1, 0))), 0)</f>
        <v>3.2867777455725437E-2</v>
      </c>
      <c r="N83" s="16">
        <f>IFERROR(INDEX(Volcado_Dist!$A:$ZZ, MATCH($B83, Volcado_Dist!$A:$A, 0), MATCH(N$2, Volcado_Dist!$1:$1, 0)) / SUM(INDEX(Volcado_Dist!$A:$ZZ, 0, MATCH(N$2, Volcado_Dist!$1:$1, 0))), 0)</f>
        <v>0</v>
      </c>
      <c r="O83" s="16">
        <f>IFERROR(INDEX(Volcado_Dist!$A:$ZZ, MATCH($B83, Volcado_Dist!$A:$A, 0), MATCH(O$2, Volcado_Dist!$1:$1, 0)) / SUM(INDEX(Volcado_Dist!$A:$ZZ, 0, MATCH(O$2, Volcado_Dist!$1:$1, 0))), 0)</f>
        <v>2.8539745207898839E-2</v>
      </c>
      <c r="P83" s="16">
        <f>IFERROR(INDEX(Volcado_Dist!$A:$ZZ, MATCH($B83, Volcado_Dist!$A:$A, 0), MATCH(P$2, Volcado_Dist!$1:$1, 0)) / SUM(INDEX(Volcado_Dist!$A:$ZZ, 0, MATCH(P$2, Volcado_Dist!$1:$1, 0))), 0)</f>
        <v>2.0035830811777563E-2</v>
      </c>
      <c r="Q83" s="16">
        <f>IFERROR(INDEX(Volcado_Dist!$A:$ZZ, MATCH($B83, Volcado_Dist!$A:$A, 0), MATCH(Q$2, Volcado_Dist!$1:$1, 0)) / SUM(INDEX(Volcado_Dist!$A:$ZZ, 0, MATCH(Q$2, Volcado_Dist!$1:$1, 0))), 0)</f>
        <v>2.4632883143174713E-2</v>
      </c>
      <c r="R83" s="16">
        <f>IFERROR(INDEX(Volcado_Dist!$A:$ZZ, MATCH($B83, Volcado_Dist!$A:$A, 0), MATCH(R$2, Volcado_Dist!$1:$1, 0)) / SUM(INDEX(Volcado_Dist!$A:$ZZ, 0, MATCH(R$2, Volcado_Dist!$1:$1, 0))), 0)</f>
        <v>1.9618932192523052E-2</v>
      </c>
      <c r="S83" s="16">
        <f>IFERROR(INDEX(Volcado_Dist!$A:$ZZ, MATCH($B83, Volcado_Dist!$A:$A, 0), MATCH(S$2, Volcado_Dist!$1:$1, 0)) / SUM(INDEX(Volcado_Dist!$A:$ZZ, 0, MATCH(S$2, Volcado_Dist!$1:$1, 0))), 0)</f>
        <v>1.4370555659987155E-2</v>
      </c>
      <c r="T83" s="16">
        <f>IFERROR(INDEX(Volcado_Dist!$A:$ZZ, MATCH($B83, Volcado_Dist!$A:$A, 0), MATCH(T$2, Volcado_Dist!$1:$1, 0)) / SUM(INDEX(Volcado_Dist!$A:$ZZ, 0, MATCH(T$2, Volcado_Dist!$1:$1, 0))), 0)</f>
        <v>2.4849399539836767E-2</v>
      </c>
      <c r="U83" s="16">
        <f>IFERROR(INDEX(Volcado_Dist!$A:$ZZ, MATCH($B83, Volcado_Dist!$A:$A, 0), MATCH(U$2, Volcado_Dist!$1:$1, 0)) / SUM(INDEX(Volcado_Dist!$A:$ZZ, 0, MATCH(U$2, Volcado_Dist!$1:$1, 0))), 0)</f>
        <v>1.465298683644653E-2</v>
      </c>
      <c r="V83" s="16">
        <f>IFERROR(INDEX(Volcado_Dist!$A:$ZZ, MATCH($B83, Volcado_Dist!$A:$A, 0), MATCH(V$2, Volcado_Dist!$1:$1, 0)) / SUM(INDEX(Volcado_Dist!$A:$ZZ, 0, MATCH(V$2, Volcado_Dist!$1:$1, 0))), 0)</f>
        <v>1.2258135158544894E-2</v>
      </c>
      <c r="W83" s="16">
        <f t="shared" si="3"/>
        <v>1.5120750508456581E-2</v>
      </c>
      <c r="X83" s="17">
        <f>IFERROR(SUM(_xlfn.XLOOKUP($B83, Volcado_Vend!$A:$A, Volcado_Vend!$C:$ZZ, 0)) / SUM(Volcado_Vend!$C:$ZZ), 0)</f>
        <v>4.66795446421054E-3</v>
      </c>
      <c r="Y83" s="24">
        <f t="shared" si="2"/>
        <v>9.8943524863335606E-3</v>
      </c>
    </row>
    <row r="84" spans="2:25" x14ac:dyDescent="0.25">
      <c r="B84" s="15" t="s">
        <v>108</v>
      </c>
      <c r="C84" s="16">
        <f>IFERROR(INDEX(Volcado_Dist!$A:$ZZ, MATCH($B84, Volcado_Dist!$A:$A, 0), MATCH(C$2, Volcado_Dist!$1:$1, 0)) / SUM(INDEX(Volcado_Dist!$A:$ZZ, 0, MATCH(C$2, Volcado_Dist!$1:$1, 0))), 0)</f>
        <v>2.6100424864456507E-4</v>
      </c>
      <c r="D84" s="16">
        <f>IFERROR(INDEX(Volcado_Dist!$A:$ZZ, MATCH($B84, Volcado_Dist!$A:$A, 0), MATCH(D$2, Volcado_Dist!$1:$1, 0)) / SUM(INDEX(Volcado_Dist!$A:$ZZ, 0, MATCH(D$2, Volcado_Dist!$1:$1, 0))), 0)</f>
        <v>0</v>
      </c>
      <c r="E84" s="16">
        <f>IFERROR(INDEX(Volcado_Dist!$A:$ZZ, MATCH($B84, Volcado_Dist!$A:$A, 0), MATCH(E$2, Volcado_Dist!$1:$1, 0)) / SUM(INDEX(Volcado_Dist!$A:$ZZ, 0, MATCH(E$2, Volcado_Dist!$1:$1, 0))), 0)</f>
        <v>0</v>
      </c>
      <c r="F84" s="16">
        <f>IFERROR(INDEX(Volcado_Dist!$A:$ZZ, MATCH($B84, Volcado_Dist!$A:$A, 0), MATCH(F$2, Volcado_Dist!$1:$1, 0)) / SUM(INDEX(Volcado_Dist!$A:$ZZ, 0, MATCH(F$2, Volcado_Dist!$1:$1, 0))), 0)</f>
        <v>8.4382353084684336E-3</v>
      </c>
      <c r="G84" s="16">
        <f>IFERROR(INDEX(Volcado_Dist!$A:$ZZ, MATCH($B84, Volcado_Dist!$A:$A, 0), MATCH(G$2, Volcado_Dist!$1:$1, 0)) / SUM(INDEX(Volcado_Dist!$A:$ZZ, 0, MATCH(G$2, Volcado_Dist!$1:$1, 0))), 0)</f>
        <v>0</v>
      </c>
      <c r="H84" s="16">
        <f>IFERROR(INDEX(Volcado_Dist!$A:$ZZ, MATCH($B84, Volcado_Dist!$A:$A, 0), MATCH(H$2, Volcado_Dist!$1:$1, 0)) / SUM(INDEX(Volcado_Dist!$A:$ZZ, 0, MATCH(H$2, Volcado_Dist!$1:$1, 0))), 0)</f>
        <v>0</v>
      </c>
      <c r="I84" s="16">
        <f>IFERROR(INDEX(Volcado_Dist!$A:$ZZ, MATCH($B84, Volcado_Dist!$A:$A, 0), MATCH(I$2, Volcado_Dist!$1:$1, 0)) / SUM(INDEX(Volcado_Dist!$A:$ZZ, 0, MATCH(I$2, Volcado_Dist!$1:$1, 0))), 0)</f>
        <v>4.1053802872296347E-3</v>
      </c>
      <c r="J84" s="16">
        <f>IFERROR(INDEX(Volcado_Dist!$A:$ZZ, MATCH($B84, Volcado_Dist!$A:$A, 0), MATCH(J$2, Volcado_Dist!$1:$1, 0)) / SUM(INDEX(Volcado_Dist!$A:$ZZ, 0, MATCH(J$2, Volcado_Dist!$1:$1, 0))), 0)</f>
        <v>0</v>
      </c>
      <c r="K84" s="16">
        <f>IFERROR(INDEX(Volcado_Dist!$A:$ZZ, MATCH($B84, Volcado_Dist!$A:$A, 0), MATCH(K$2, Volcado_Dist!$1:$1, 0)) / SUM(INDEX(Volcado_Dist!$A:$ZZ, 0, MATCH(K$2, Volcado_Dist!$1:$1, 0))), 0)</f>
        <v>4.6459597529844264E-3</v>
      </c>
      <c r="L84" s="16">
        <f>IFERROR(INDEX(Volcado_Dist!$A:$ZZ, MATCH($B84, Volcado_Dist!$A:$A, 0), MATCH(L$2, Volcado_Dist!$1:$1, 0)) / SUM(INDEX(Volcado_Dist!$A:$ZZ, 0, MATCH(L$2, Volcado_Dist!$1:$1, 0))), 0)</f>
        <v>3.2628493873958491E-4</v>
      </c>
      <c r="M84" s="16">
        <f>IFERROR(INDEX(Volcado_Dist!$A:$ZZ, MATCH($B84, Volcado_Dist!$A:$A, 0), MATCH(M$2, Volcado_Dist!$1:$1, 0)) / SUM(INDEX(Volcado_Dist!$A:$ZZ, 0, MATCH(M$2, Volcado_Dist!$1:$1, 0))), 0)</f>
        <v>7.0012193838210179E-3</v>
      </c>
      <c r="N84" s="16">
        <f>IFERROR(INDEX(Volcado_Dist!$A:$ZZ, MATCH($B84, Volcado_Dist!$A:$A, 0), MATCH(N$2, Volcado_Dist!$1:$1, 0)) / SUM(INDEX(Volcado_Dist!$A:$ZZ, 0, MATCH(N$2, Volcado_Dist!$1:$1, 0))), 0)</f>
        <v>0</v>
      </c>
      <c r="O84" s="16">
        <f>IFERROR(INDEX(Volcado_Dist!$A:$ZZ, MATCH($B84, Volcado_Dist!$A:$A, 0), MATCH(O$2, Volcado_Dist!$1:$1, 0)) / SUM(INDEX(Volcado_Dist!$A:$ZZ, 0, MATCH(O$2, Volcado_Dist!$1:$1, 0))), 0)</f>
        <v>0</v>
      </c>
      <c r="P84" s="16">
        <f>IFERROR(INDEX(Volcado_Dist!$A:$ZZ, MATCH($B84, Volcado_Dist!$A:$A, 0), MATCH(P$2, Volcado_Dist!$1:$1, 0)) / SUM(INDEX(Volcado_Dist!$A:$ZZ, 0, MATCH(P$2, Volcado_Dist!$1:$1, 0))), 0)</f>
        <v>1.9077185877798696E-3</v>
      </c>
      <c r="Q84" s="16">
        <f>IFERROR(INDEX(Volcado_Dist!$A:$ZZ, MATCH($B84, Volcado_Dist!$A:$A, 0), MATCH(Q$2, Volcado_Dist!$1:$1, 0)) / SUM(INDEX(Volcado_Dist!$A:$ZZ, 0, MATCH(Q$2, Volcado_Dist!$1:$1, 0))), 0)</f>
        <v>2.4332355078423046E-2</v>
      </c>
      <c r="R84" s="16">
        <f>IFERROR(INDEX(Volcado_Dist!$A:$ZZ, MATCH($B84, Volcado_Dist!$A:$A, 0), MATCH(R$2, Volcado_Dist!$1:$1, 0)) / SUM(INDEX(Volcado_Dist!$A:$ZZ, 0, MATCH(R$2, Volcado_Dist!$1:$1, 0))), 0)</f>
        <v>0</v>
      </c>
      <c r="S84" s="16">
        <f>IFERROR(INDEX(Volcado_Dist!$A:$ZZ, MATCH($B84, Volcado_Dist!$A:$A, 0), MATCH(S$2, Volcado_Dist!$1:$1, 0)) / SUM(INDEX(Volcado_Dist!$A:$ZZ, 0, MATCH(S$2, Volcado_Dist!$1:$1, 0))), 0)</f>
        <v>1.4761774021807244E-3</v>
      </c>
      <c r="T84" s="16">
        <f>IFERROR(INDEX(Volcado_Dist!$A:$ZZ, MATCH($B84, Volcado_Dist!$A:$A, 0), MATCH(T$2, Volcado_Dist!$1:$1, 0)) / SUM(INDEX(Volcado_Dist!$A:$ZZ, 0, MATCH(T$2, Volcado_Dist!$1:$1, 0))), 0)</f>
        <v>4.8372213614976973E-3</v>
      </c>
      <c r="U84" s="16">
        <f>IFERROR(INDEX(Volcado_Dist!$A:$ZZ, MATCH($B84, Volcado_Dist!$A:$A, 0), MATCH(U$2, Volcado_Dist!$1:$1, 0)) / SUM(INDEX(Volcado_Dist!$A:$ZZ, 0, MATCH(U$2, Volcado_Dist!$1:$1, 0))), 0)</f>
        <v>0</v>
      </c>
      <c r="V84" s="16">
        <f>IFERROR(INDEX(Volcado_Dist!$A:$ZZ, MATCH($B84, Volcado_Dist!$A:$A, 0), MATCH(V$2, Volcado_Dist!$1:$1, 0)) / SUM(INDEX(Volcado_Dist!$A:$ZZ, 0, MATCH(V$2, Volcado_Dist!$1:$1, 0))), 0)</f>
        <v>4.7593749945583517E-3</v>
      </c>
      <c r="W84" s="16">
        <f t="shared" si="3"/>
        <v>3.1045465672163673E-3</v>
      </c>
      <c r="X84" s="17">
        <f>IFERROR(SUM(_xlfn.XLOOKUP($B84, Volcado_Vend!$A:$A, Volcado_Vend!$C:$ZZ, 0)) / SUM(Volcado_Vend!$C:$ZZ), 0)</f>
        <v>1.4104422903582032E-2</v>
      </c>
      <c r="Y84" s="24">
        <f t="shared" si="2"/>
        <v>8.6044847353991989E-3</v>
      </c>
    </row>
    <row r="85" spans="2:25" x14ac:dyDescent="0.25">
      <c r="B85" s="15" t="s">
        <v>109</v>
      </c>
      <c r="C85" s="16">
        <f>IFERROR(INDEX(Volcado_Dist!$A:$ZZ, MATCH($B85, Volcado_Dist!$A:$A, 0), MATCH(C$2, Volcado_Dist!$1:$1, 0)) / SUM(INDEX(Volcado_Dist!$A:$ZZ, 0, MATCH(C$2, Volcado_Dist!$1:$1, 0))), 0)</f>
        <v>3.9778054473309579E-2</v>
      </c>
      <c r="D85" s="16">
        <f>IFERROR(INDEX(Volcado_Dist!$A:$ZZ, MATCH($B85, Volcado_Dist!$A:$A, 0), MATCH(D$2, Volcado_Dist!$1:$1, 0)) / SUM(INDEX(Volcado_Dist!$A:$ZZ, 0, MATCH(D$2, Volcado_Dist!$1:$1, 0))), 0)</f>
        <v>0</v>
      </c>
      <c r="E85" s="16">
        <f>IFERROR(INDEX(Volcado_Dist!$A:$ZZ, MATCH($B85, Volcado_Dist!$A:$A, 0), MATCH(E$2, Volcado_Dist!$1:$1, 0)) / SUM(INDEX(Volcado_Dist!$A:$ZZ, 0, MATCH(E$2, Volcado_Dist!$1:$1, 0))), 0)</f>
        <v>2.0239017986504654E-2</v>
      </c>
      <c r="F85" s="16">
        <f>IFERROR(INDEX(Volcado_Dist!$A:$ZZ, MATCH($B85, Volcado_Dist!$A:$A, 0), MATCH(F$2, Volcado_Dist!$1:$1, 0)) / SUM(INDEX(Volcado_Dist!$A:$ZZ, 0, MATCH(F$2, Volcado_Dist!$1:$1, 0))), 0)</f>
        <v>3.6220880777793188E-2</v>
      </c>
      <c r="G85" s="16">
        <f>IFERROR(INDEX(Volcado_Dist!$A:$ZZ, MATCH($B85, Volcado_Dist!$A:$A, 0), MATCH(G$2, Volcado_Dist!$1:$1, 0)) / SUM(INDEX(Volcado_Dist!$A:$ZZ, 0, MATCH(G$2, Volcado_Dist!$1:$1, 0))), 0)</f>
        <v>5.7435632832159932E-2</v>
      </c>
      <c r="H85" s="16">
        <f>IFERROR(INDEX(Volcado_Dist!$A:$ZZ, MATCH($B85, Volcado_Dist!$A:$A, 0), MATCH(H$2, Volcado_Dist!$1:$1, 0)) / SUM(INDEX(Volcado_Dist!$A:$ZZ, 0, MATCH(H$2, Volcado_Dist!$1:$1, 0))), 0)</f>
        <v>0</v>
      </c>
      <c r="I85" s="16">
        <f>IFERROR(INDEX(Volcado_Dist!$A:$ZZ, MATCH($B85, Volcado_Dist!$A:$A, 0), MATCH(I$2, Volcado_Dist!$1:$1, 0)) / SUM(INDEX(Volcado_Dist!$A:$ZZ, 0, MATCH(I$2, Volcado_Dist!$1:$1, 0))), 0)</f>
        <v>1.4887394674341055E-2</v>
      </c>
      <c r="J85" s="16">
        <f>IFERROR(INDEX(Volcado_Dist!$A:$ZZ, MATCH($B85, Volcado_Dist!$A:$A, 0), MATCH(J$2, Volcado_Dist!$1:$1, 0)) / SUM(INDEX(Volcado_Dist!$A:$ZZ, 0, MATCH(J$2, Volcado_Dist!$1:$1, 0))), 0)</f>
        <v>0.20922056753663418</v>
      </c>
      <c r="K85" s="16">
        <f>IFERROR(INDEX(Volcado_Dist!$A:$ZZ, MATCH($B85, Volcado_Dist!$A:$A, 0), MATCH(K$2, Volcado_Dist!$1:$1, 0)) / SUM(INDEX(Volcado_Dist!$A:$ZZ, 0, MATCH(K$2, Volcado_Dist!$1:$1, 0))), 0)</f>
        <v>3.1448545704969563E-2</v>
      </c>
      <c r="L85" s="16">
        <f>IFERROR(INDEX(Volcado_Dist!$A:$ZZ, MATCH($B85, Volcado_Dist!$A:$A, 0), MATCH(L$2, Volcado_Dist!$1:$1, 0)) / SUM(INDEX(Volcado_Dist!$A:$ZZ, 0, MATCH(L$2, Volcado_Dist!$1:$1, 0))), 0)</f>
        <v>3.6503991045816336E-2</v>
      </c>
      <c r="M85" s="16">
        <f>IFERROR(INDEX(Volcado_Dist!$A:$ZZ, MATCH($B85, Volcado_Dist!$A:$A, 0), MATCH(M$2, Volcado_Dist!$1:$1, 0)) / SUM(INDEX(Volcado_Dist!$A:$ZZ, 0, MATCH(M$2, Volcado_Dist!$1:$1, 0))), 0)</f>
        <v>-1.8579812573280487E-2</v>
      </c>
      <c r="N85" s="16">
        <f>IFERROR(INDEX(Volcado_Dist!$A:$ZZ, MATCH($B85, Volcado_Dist!$A:$A, 0), MATCH(N$2, Volcado_Dist!$1:$1, 0)) / SUM(INDEX(Volcado_Dist!$A:$ZZ, 0, MATCH(N$2, Volcado_Dist!$1:$1, 0))), 0)</f>
        <v>0</v>
      </c>
      <c r="O85" s="16">
        <f>IFERROR(INDEX(Volcado_Dist!$A:$ZZ, MATCH($B85, Volcado_Dist!$A:$A, 0), MATCH(O$2, Volcado_Dist!$1:$1, 0)) / SUM(INDEX(Volcado_Dist!$A:$ZZ, 0, MATCH(O$2, Volcado_Dist!$1:$1, 0))), 0)</f>
        <v>6.2831422744905382E-3</v>
      </c>
      <c r="P85" s="16">
        <f>IFERROR(INDEX(Volcado_Dist!$A:$ZZ, MATCH($B85, Volcado_Dist!$A:$A, 0), MATCH(P$2, Volcado_Dist!$1:$1, 0)) / SUM(INDEX(Volcado_Dist!$A:$ZZ, 0, MATCH(P$2, Volcado_Dist!$1:$1, 0))), 0)</f>
        <v>4.9218159167076725E-2</v>
      </c>
      <c r="Q85" s="16">
        <f>IFERROR(INDEX(Volcado_Dist!$A:$ZZ, MATCH($B85, Volcado_Dist!$A:$A, 0), MATCH(Q$2, Volcado_Dist!$1:$1, 0)) / SUM(INDEX(Volcado_Dist!$A:$ZZ, 0, MATCH(Q$2, Volcado_Dist!$1:$1, 0))), 0)</f>
        <v>3.4524820809830165E-3</v>
      </c>
      <c r="R85" s="16">
        <f>IFERROR(INDEX(Volcado_Dist!$A:$ZZ, MATCH($B85, Volcado_Dist!$A:$A, 0), MATCH(R$2, Volcado_Dist!$1:$1, 0)) / SUM(INDEX(Volcado_Dist!$A:$ZZ, 0, MATCH(R$2, Volcado_Dist!$1:$1, 0))), 0)</f>
        <v>0.12978209666503673</v>
      </c>
      <c r="S85" s="16">
        <f>IFERROR(INDEX(Volcado_Dist!$A:$ZZ, MATCH($B85, Volcado_Dist!$A:$A, 0), MATCH(S$2, Volcado_Dist!$1:$1, 0)) / SUM(INDEX(Volcado_Dist!$A:$ZZ, 0, MATCH(S$2, Volcado_Dist!$1:$1, 0))), 0)</f>
        <v>0.10082366497808402</v>
      </c>
      <c r="T85" s="16">
        <f>IFERROR(INDEX(Volcado_Dist!$A:$ZZ, MATCH($B85, Volcado_Dist!$A:$A, 0), MATCH(T$2, Volcado_Dist!$1:$1, 0)) / SUM(INDEX(Volcado_Dist!$A:$ZZ, 0, MATCH(T$2, Volcado_Dist!$1:$1, 0))), 0)</f>
        <v>3.2380825666159782E-2</v>
      </c>
      <c r="U85" s="16">
        <f>IFERROR(INDEX(Volcado_Dist!$A:$ZZ, MATCH($B85, Volcado_Dist!$A:$A, 0), MATCH(U$2, Volcado_Dist!$1:$1, 0)) / SUM(INDEX(Volcado_Dist!$A:$ZZ, 0, MATCH(U$2, Volcado_Dist!$1:$1, 0))), 0)</f>
        <v>2.7998027583753079E-2</v>
      </c>
      <c r="V85" s="16">
        <f>IFERROR(INDEX(Volcado_Dist!$A:$ZZ, MATCH($B85, Volcado_Dist!$A:$A, 0), MATCH(V$2, Volcado_Dist!$1:$1, 0)) / SUM(INDEX(Volcado_Dist!$A:$ZZ, 0, MATCH(V$2, Volcado_Dist!$1:$1, 0))), 0)</f>
        <v>4.7496819475776587E-2</v>
      </c>
      <c r="W85" s="16">
        <f t="shared" si="3"/>
        <v>4.1229474517480422E-2</v>
      </c>
      <c r="X85" s="17">
        <f>IFERROR(SUM(_xlfn.XLOOKUP($B85, Volcado_Vend!$A:$A, Volcado_Vend!$C:$ZZ, 0)) / SUM(Volcado_Vend!$C:$ZZ), 0)</f>
        <v>1.1924638673380079E-2</v>
      </c>
      <c r="Y85" s="24">
        <f t="shared" si="2"/>
        <v>2.6577056595430248E-2</v>
      </c>
    </row>
    <row r="86" spans="2:25" x14ac:dyDescent="0.25">
      <c r="B86" s="15" t="s">
        <v>110</v>
      </c>
      <c r="C86" s="16">
        <f>IFERROR(INDEX(Volcado_Dist!$A:$ZZ, MATCH($B86, Volcado_Dist!$A:$A, 0), MATCH(C$2, Volcado_Dist!$1:$1, 0)) / SUM(INDEX(Volcado_Dist!$A:$ZZ, 0, MATCH(C$2, Volcado_Dist!$1:$1, 0))), 0)</f>
        <v>0.32548980770267538</v>
      </c>
      <c r="D86" s="16">
        <f>IFERROR(INDEX(Volcado_Dist!$A:$ZZ, MATCH($B86, Volcado_Dist!$A:$A, 0), MATCH(D$2, Volcado_Dist!$1:$1, 0)) / SUM(INDEX(Volcado_Dist!$A:$ZZ, 0, MATCH(D$2, Volcado_Dist!$1:$1, 0))), 0)</f>
        <v>0</v>
      </c>
      <c r="E86" s="16">
        <f>IFERROR(INDEX(Volcado_Dist!$A:$ZZ, MATCH($B86, Volcado_Dist!$A:$A, 0), MATCH(E$2, Volcado_Dist!$1:$1, 0)) / SUM(INDEX(Volcado_Dist!$A:$ZZ, 0, MATCH(E$2, Volcado_Dist!$1:$1, 0))), 0)</f>
        <v>0.45673576368943747</v>
      </c>
      <c r="F86" s="16">
        <f>IFERROR(INDEX(Volcado_Dist!$A:$ZZ, MATCH($B86, Volcado_Dist!$A:$A, 0), MATCH(F$2, Volcado_Dist!$1:$1, 0)) / SUM(INDEX(Volcado_Dist!$A:$ZZ, 0, MATCH(F$2, Volcado_Dist!$1:$1, 0))), 0)</f>
        <v>0.31203134809190275</v>
      </c>
      <c r="G86" s="16">
        <f>IFERROR(INDEX(Volcado_Dist!$A:$ZZ, MATCH($B86, Volcado_Dist!$A:$A, 0), MATCH(G$2, Volcado_Dist!$1:$1, 0)) / SUM(INDEX(Volcado_Dist!$A:$ZZ, 0, MATCH(G$2, Volcado_Dist!$1:$1, 0))), 0)</f>
        <v>0.76387958646634702</v>
      </c>
      <c r="H86" s="16">
        <f>IFERROR(INDEX(Volcado_Dist!$A:$ZZ, MATCH($B86, Volcado_Dist!$A:$A, 0), MATCH(H$2, Volcado_Dist!$1:$1, 0)) / SUM(INDEX(Volcado_Dist!$A:$ZZ, 0, MATCH(H$2, Volcado_Dist!$1:$1, 0))), 0)</f>
        <v>0</v>
      </c>
      <c r="I86" s="16">
        <f>IFERROR(INDEX(Volcado_Dist!$A:$ZZ, MATCH($B86, Volcado_Dist!$A:$A, 0), MATCH(I$2, Volcado_Dist!$1:$1, 0)) / SUM(INDEX(Volcado_Dist!$A:$ZZ, 0, MATCH(I$2, Volcado_Dist!$1:$1, 0))), 0)</f>
        <v>0.41113866571994229</v>
      </c>
      <c r="J86" s="16">
        <f>IFERROR(INDEX(Volcado_Dist!$A:$ZZ, MATCH($B86, Volcado_Dist!$A:$A, 0), MATCH(J$2, Volcado_Dist!$1:$1, 0)) / SUM(INDEX(Volcado_Dist!$A:$ZZ, 0, MATCH(J$2, Volcado_Dist!$1:$1, 0))), 0)</f>
        <v>0.38867069817738215</v>
      </c>
      <c r="K86" s="16">
        <f>IFERROR(INDEX(Volcado_Dist!$A:$ZZ, MATCH($B86, Volcado_Dist!$A:$A, 0), MATCH(K$2, Volcado_Dist!$1:$1, 0)) / SUM(INDEX(Volcado_Dist!$A:$ZZ, 0, MATCH(K$2, Volcado_Dist!$1:$1, 0))), 0)</f>
        <v>0.32663000713384749</v>
      </c>
      <c r="L86" s="16">
        <f>IFERROR(INDEX(Volcado_Dist!$A:$ZZ, MATCH($B86, Volcado_Dist!$A:$A, 0), MATCH(L$2, Volcado_Dist!$1:$1, 0)) / SUM(INDEX(Volcado_Dist!$A:$ZZ, 0, MATCH(L$2, Volcado_Dist!$1:$1, 0))), 0)</f>
        <v>0.49179829168258293</v>
      </c>
      <c r="M86" s="16">
        <f>IFERROR(INDEX(Volcado_Dist!$A:$ZZ, MATCH($B86, Volcado_Dist!$A:$A, 0), MATCH(M$2, Volcado_Dist!$1:$1, 0)) / SUM(INDEX(Volcado_Dist!$A:$ZZ, 0, MATCH(M$2, Volcado_Dist!$1:$1, 0))), 0)</f>
        <v>0.44290134042660617</v>
      </c>
      <c r="N86" s="16">
        <f>IFERROR(INDEX(Volcado_Dist!$A:$ZZ, MATCH($B86, Volcado_Dist!$A:$A, 0), MATCH(N$2, Volcado_Dist!$1:$1, 0)) / SUM(INDEX(Volcado_Dist!$A:$ZZ, 0, MATCH(N$2, Volcado_Dist!$1:$1, 0))), 0)</f>
        <v>0</v>
      </c>
      <c r="O86" s="16">
        <f>IFERROR(INDEX(Volcado_Dist!$A:$ZZ, MATCH($B86, Volcado_Dist!$A:$A, 0), MATCH(O$2, Volcado_Dist!$1:$1, 0)) / SUM(INDEX(Volcado_Dist!$A:$ZZ, 0, MATCH(O$2, Volcado_Dist!$1:$1, 0))), 0)</f>
        <v>0.44298439505591997</v>
      </c>
      <c r="P86" s="16">
        <f>IFERROR(INDEX(Volcado_Dist!$A:$ZZ, MATCH($B86, Volcado_Dist!$A:$A, 0), MATCH(P$2, Volcado_Dist!$1:$1, 0)) / SUM(INDEX(Volcado_Dist!$A:$ZZ, 0, MATCH(P$2, Volcado_Dist!$1:$1, 0))), 0)</f>
        <v>0.275227928430063</v>
      </c>
      <c r="Q86" s="16">
        <f>IFERROR(INDEX(Volcado_Dist!$A:$ZZ, MATCH($B86, Volcado_Dist!$A:$A, 0), MATCH(Q$2, Volcado_Dist!$1:$1, 0)) / SUM(INDEX(Volcado_Dist!$A:$ZZ, 0, MATCH(Q$2, Volcado_Dist!$1:$1, 0))), 0)</f>
        <v>0.39027997911596635</v>
      </c>
      <c r="R86" s="16">
        <f>IFERROR(INDEX(Volcado_Dist!$A:$ZZ, MATCH($B86, Volcado_Dist!$A:$A, 0), MATCH(R$2, Volcado_Dist!$1:$1, 0)) / SUM(INDEX(Volcado_Dist!$A:$ZZ, 0, MATCH(R$2, Volcado_Dist!$1:$1, 0))), 0)</f>
        <v>0.23343563163846534</v>
      </c>
      <c r="S86" s="16">
        <f>IFERROR(INDEX(Volcado_Dist!$A:$ZZ, MATCH($B86, Volcado_Dist!$A:$A, 0), MATCH(S$2, Volcado_Dist!$1:$1, 0)) / SUM(INDEX(Volcado_Dist!$A:$ZZ, 0, MATCH(S$2, Volcado_Dist!$1:$1, 0))), 0)</f>
        <v>0.32869122876563078</v>
      </c>
      <c r="T86" s="16">
        <f>IFERROR(INDEX(Volcado_Dist!$A:$ZZ, MATCH($B86, Volcado_Dist!$A:$A, 0), MATCH(T$2, Volcado_Dist!$1:$1, 0)) / SUM(INDEX(Volcado_Dist!$A:$ZZ, 0, MATCH(T$2, Volcado_Dist!$1:$1, 0))), 0)</f>
        <v>0.36658264486992831</v>
      </c>
      <c r="U86" s="16">
        <f>IFERROR(INDEX(Volcado_Dist!$A:$ZZ, MATCH($B86, Volcado_Dist!$A:$A, 0), MATCH(U$2, Volcado_Dist!$1:$1, 0)) / SUM(INDEX(Volcado_Dist!$A:$ZZ, 0, MATCH(U$2, Volcado_Dist!$1:$1, 0))), 0)</f>
        <v>0.13245957252284893</v>
      </c>
      <c r="V86" s="16">
        <f>IFERROR(INDEX(Volcado_Dist!$A:$ZZ, MATCH($B86, Volcado_Dist!$A:$A, 0), MATCH(V$2, Volcado_Dist!$1:$1, 0)) / SUM(INDEX(Volcado_Dist!$A:$ZZ, 0, MATCH(V$2, Volcado_Dist!$1:$1, 0))), 0)</f>
        <v>0.21091386916186153</v>
      </c>
      <c r="W86" s="16">
        <f t="shared" si="3"/>
        <v>0.31499253793257032</v>
      </c>
      <c r="X86" s="17">
        <f>IFERROR(SUM(_xlfn.XLOOKUP($B86, Volcado_Vend!$A:$A, Volcado_Vend!$C:$ZZ, 0)) / SUM(Volcado_Vend!$C:$ZZ), 0)</f>
        <v>9.6313338855679498E-2</v>
      </c>
      <c r="Y86" s="24">
        <f t="shared" si="2"/>
        <v>0.20565293839412491</v>
      </c>
    </row>
    <row r="87" spans="2:25" x14ac:dyDescent="0.25">
      <c r="B87" s="15" t="s">
        <v>111</v>
      </c>
      <c r="C87" s="16">
        <f>IFERROR(INDEX(Volcado_Dist!$A:$ZZ, MATCH($B87, Volcado_Dist!$A:$A, 0), MATCH(C$2, Volcado_Dist!$1:$1, 0)) / SUM(INDEX(Volcado_Dist!$A:$ZZ, 0, MATCH(C$2, Volcado_Dist!$1:$1, 0))), 0)</f>
        <v>1.1828652933040236E-2</v>
      </c>
      <c r="D87" s="16">
        <f>IFERROR(INDEX(Volcado_Dist!$A:$ZZ, MATCH($B87, Volcado_Dist!$A:$A, 0), MATCH(D$2, Volcado_Dist!$1:$1, 0)) / SUM(INDEX(Volcado_Dist!$A:$ZZ, 0, MATCH(D$2, Volcado_Dist!$1:$1, 0))), 0)</f>
        <v>0</v>
      </c>
      <c r="E87" s="16">
        <f>IFERROR(INDEX(Volcado_Dist!$A:$ZZ, MATCH($B87, Volcado_Dist!$A:$A, 0), MATCH(E$2, Volcado_Dist!$1:$1, 0)) / SUM(INDEX(Volcado_Dist!$A:$ZZ, 0, MATCH(E$2, Volcado_Dist!$1:$1, 0))), 0)</f>
        <v>7.1859057457843525E-4</v>
      </c>
      <c r="F87" s="16">
        <f>IFERROR(INDEX(Volcado_Dist!$A:$ZZ, MATCH($B87, Volcado_Dist!$A:$A, 0), MATCH(F$2, Volcado_Dist!$1:$1, 0)) / SUM(INDEX(Volcado_Dist!$A:$ZZ, 0, MATCH(F$2, Volcado_Dist!$1:$1, 0))), 0)</f>
        <v>7.2570091916763051E-3</v>
      </c>
      <c r="G87" s="16">
        <f>IFERROR(INDEX(Volcado_Dist!$A:$ZZ, MATCH($B87, Volcado_Dist!$A:$A, 0), MATCH(G$2, Volcado_Dist!$1:$1, 0)) / SUM(INDEX(Volcado_Dist!$A:$ZZ, 0, MATCH(G$2, Volcado_Dist!$1:$1, 0))), 0)</f>
        <v>0</v>
      </c>
      <c r="H87" s="16">
        <f>IFERROR(INDEX(Volcado_Dist!$A:$ZZ, MATCH($B87, Volcado_Dist!$A:$A, 0), MATCH(H$2, Volcado_Dist!$1:$1, 0)) / SUM(INDEX(Volcado_Dist!$A:$ZZ, 0, MATCH(H$2, Volcado_Dist!$1:$1, 0))), 0)</f>
        <v>0</v>
      </c>
      <c r="I87" s="16">
        <f>IFERROR(INDEX(Volcado_Dist!$A:$ZZ, MATCH($B87, Volcado_Dist!$A:$A, 0), MATCH(I$2, Volcado_Dist!$1:$1, 0)) / SUM(INDEX(Volcado_Dist!$A:$ZZ, 0, MATCH(I$2, Volcado_Dist!$1:$1, 0))), 0)</f>
        <v>9.9562370580427526E-3</v>
      </c>
      <c r="J87" s="16">
        <f>IFERROR(INDEX(Volcado_Dist!$A:$ZZ, MATCH($B87, Volcado_Dist!$A:$A, 0), MATCH(J$2, Volcado_Dist!$1:$1, 0)) / SUM(INDEX(Volcado_Dist!$A:$ZZ, 0, MATCH(J$2, Volcado_Dist!$1:$1, 0))), 0)</f>
        <v>0</v>
      </c>
      <c r="K87" s="16">
        <f>IFERROR(INDEX(Volcado_Dist!$A:$ZZ, MATCH($B87, Volcado_Dist!$A:$A, 0), MATCH(K$2, Volcado_Dist!$1:$1, 0)) / SUM(INDEX(Volcado_Dist!$A:$ZZ, 0, MATCH(K$2, Volcado_Dist!$1:$1, 0))), 0)</f>
        <v>3.1074155602856331E-3</v>
      </c>
      <c r="L87" s="16">
        <f>IFERROR(INDEX(Volcado_Dist!$A:$ZZ, MATCH($B87, Volcado_Dist!$A:$A, 0), MATCH(L$2, Volcado_Dist!$1:$1, 0)) / SUM(INDEX(Volcado_Dist!$A:$ZZ, 0, MATCH(L$2, Volcado_Dist!$1:$1, 0))), 0)</f>
        <v>0</v>
      </c>
      <c r="M87" s="16">
        <f>IFERROR(INDEX(Volcado_Dist!$A:$ZZ, MATCH($B87, Volcado_Dist!$A:$A, 0), MATCH(M$2, Volcado_Dist!$1:$1, 0)) / SUM(INDEX(Volcado_Dist!$A:$ZZ, 0, MATCH(M$2, Volcado_Dist!$1:$1, 0))), 0)</f>
        <v>4.0619687235862482E-3</v>
      </c>
      <c r="N87" s="16">
        <f>IFERROR(INDEX(Volcado_Dist!$A:$ZZ, MATCH($B87, Volcado_Dist!$A:$A, 0), MATCH(N$2, Volcado_Dist!$1:$1, 0)) / SUM(INDEX(Volcado_Dist!$A:$ZZ, 0, MATCH(N$2, Volcado_Dist!$1:$1, 0))), 0)</f>
        <v>0</v>
      </c>
      <c r="O87" s="16">
        <f>IFERROR(INDEX(Volcado_Dist!$A:$ZZ, MATCH($B87, Volcado_Dist!$A:$A, 0), MATCH(O$2, Volcado_Dist!$1:$1, 0)) / SUM(INDEX(Volcado_Dist!$A:$ZZ, 0, MATCH(O$2, Volcado_Dist!$1:$1, 0))), 0)</f>
        <v>7.9122340653815411E-3</v>
      </c>
      <c r="P87" s="16">
        <f>IFERROR(INDEX(Volcado_Dist!$A:$ZZ, MATCH($B87, Volcado_Dist!$A:$A, 0), MATCH(P$2, Volcado_Dist!$1:$1, 0)) / SUM(INDEX(Volcado_Dist!$A:$ZZ, 0, MATCH(P$2, Volcado_Dist!$1:$1, 0))), 0)</f>
        <v>2.7628619809730612E-3</v>
      </c>
      <c r="Q87" s="16">
        <f>IFERROR(INDEX(Volcado_Dist!$A:$ZZ, MATCH($B87, Volcado_Dist!$A:$A, 0), MATCH(Q$2, Volcado_Dist!$1:$1, 0)) / SUM(INDEX(Volcado_Dist!$A:$ZZ, 0, MATCH(Q$2, Volcado_Dist!$1:$1, 0))), 0)</f>
        <v>0</v>
      </c>
      <c r="R87" s="16">
        <f>IFERROR(INDEX(Volcado_Dist!$A:$ZZ, MATCH($B87, Volcado_Dist!$A:$A, 0), MATCH(R$2, Volcado_Dist!$1:$1, 0)) / SUM(INDEX(Volcado_Dist!$A:$ZZ, 0, MATCH(R$2, Volcado_Dist!$1:$1, 0))), 0)</f>
        <v>0</v>
      </c>
      <c r="S87" s="16">
        <f>IFERROR(INDEX(Volcado_Dist!$A:$ZZ, MATCH($B87, Volcado_Dist!$A:$A, 0), MATCH(S$2, Volcado_Dist!$1:$1, 0)) / SUM(INDEX(Volcado_Dist!$A:$ZZ, 0, MATCH(S$2, Volcado_Dist!$1:$1, 0))), 0)</f>
        <v>0</v>
      </c>
      <c r="T87" s="16">
        <f>IFERROR(INDEX(Volcado_Dist!$A:$ZZ, MATCH($B87, Volcado_Dist!$A:$A, 0), MATCH(T$2, Volcado_Dist!$1:$1, 0)) / SUM(INDEX(Volcado_Dist!$A:$ZZ, 0, MATCH(T$2, Volcado_Dist!$1:$1, 0))), 0)</f>
        <v>4.2273364111779926E-3</v>
      </c>
      <c r="U87" s="16">
        <f>IFERROR(INDEX(Volcado_Dist!$A:$ZZ, MATCH($B87, Volcado_Dist!$A:$A, 0), MATCH(U$2, Volcado_Dist!$1:$1, 0)) / SUM(INDEX(Volcado_Dist!$A:$ZZ, 0, MATCH(U$2, Volcado_Dist!$1:$1, 0))), 0)</f>
        <v>3.7407894338082693E-3</v>
      </c>
      <c r="V87" s="16">
        <f>IFERROR(INDEX(Volcado_Dist!$A:$ZZ, MATCH($B87, Volcado_Dist!$A:$A, 0), MATCH(V$2, Volcado_Dist!$1:$1, 0)) / SUM(INDEX(Volcado_Dist!$A:$ZZ, 0, MATCH(V$2, Volcado_Dist!$1:$1, 0))), 0)</f>
        <v>2.4899570225641603E-3</v>
      </c>
      <c r="W87" s="16">
        <f t="shared" si="3"/>
        <v>2.903152647755731E-3</v>
      </c>
      <c r="X87" s="17">
        <f>IFERROR(SUM(_xlfn.XLOOKUP($B87, Volcado_Vend!$A:$A, Volcado_Vend!$C:$ZZ, 0)) / SUM(Volcado_Vend!$C:$ZZ), 0)</f>
        <v>6.2732140729323659E-4</v>
      </c>
      <c r="Y87" s="24">
        <f t="shared" si="2"/>
        <v>1.7652370275244838E-3</v>
      </c>
    </row>
    <row r="88" spans="2:25" x14ac:dyDescent="0.25">
      <c r="B88" s="15" t="s">
        <v>112</v>
      </c>
      <c r="C88" s="16">
        <f>IFERROR(INDEX(Volcado_Dist!$A:$ZZ, MATCH($B88, Volcado_Dist!$A:$A, 0), MATCH(C$2, Volcado_Dist!$1:$1, 0)) / SUM(INDEX(Volcado_Dist!$A:$ZZ, 0, MATCH(C$2, Volcado_Dist!$1:$1, 0))), 0)</f>
        <v>6.2002661693150649E-2</v>
      </c>
      <c r="D88" s="16">
        <f>IFERROR(INDEX(Volcado_Dist!$A:$ZZ, MATCH($B88, Volcado_Dist!$A:$A, 0), MATCH(D$2, Volcado_Dist!$1:$1, 0)) / SUM(INDEX(Volcado_Dist!$A:$ZZ, 0, MATCH(D$2, Volcado_Dist!$1:$1, 0))), 0)</f>
        <v>0</v>
      </c>
      <c r="E88" s="16">
        <f>IFERROR(INDEX(Volcado_Dist!$A:$ZZ, MATCH($B88, Volcado_Dist!$A:$A, 0), MATCH(E$2, Volcado_Dist!$1:$1, 0)) / SUM(INDEX(Volcado_Dist!$A:$ZZ, 0, MATCH(E$2, Volcado_Dist!$1:$1, 0))), 0)</f>
        <v>1.9841321210022009E-2</v>
      </c>
      <c r="F88" s="16">
        <f>IFERROR(INDEX(Volcado_Dist!$A:$ZZ, MATCH($B88, Volcado_Dist!$A:$A, 0), MATCH(F$2, Volcado_Dist!$1:$1, 0)) / SUM(INDEX(Volcado_Dist!$A:$ZZ, 0, MATCH(F$2, Volcado_Dist!$1:$1, 0))), 0)</f>
        <v>1.563269670124575E-2</v>
      </c>
      <c r="G88" s="16">
        <f>IFERROR(INDEX(Volcado_Dist!$A:$ZZ, MATCH($B88, Volcado_Dist!$A:$A, 0), MATCH(G$2, Volcado_Dist!$1:$1, 0)) / SUM(INDEX(Volcado_Dist!$A:$ZZ, 0, MATCH(G$2, Volcado_Dist!$1:$1, 0))), 0)</f>
        <v>7.8988812820051962E-2</v>
      </c>
      <c r="H88" s="16">
        <f>IFERROR(INDEX(Volcado_Dist!$A:$ZZ, MATCH($B88, Volcado_Dist!$A:$A, 0), MATCH(H$2, Volcado_Dist!$1:$1, 0)) / SUM(INDEX(Volcado_Dist!$A:$ZZ, 0, MATCH(H$2, Volcado_Dist!$1:$1, 0))), 0)</f>
        <v>0.20186300646191979</v>
      </c>
      <c r="I88" s="16">
        <f>IFERROR(INDEX(Volcado_Dist!$A:$ZZ, MATCH($B88, Volcado_Dist!$A:$A, 0), MATCH(I$2, Volcado_Dist!$1:$1, 0)) / SUM(INDEX(Volcado_Dist!$A:$ZZ, 0, MATCH(I$2, Volcado_Dist!$1:$1, 0))), 0)</f>
        <v>8.2169120679172133E-2</v>
      </c>
      <c r="J88" s="16">
        <f>IFERROR(INDEX(Volcado_Dist!$A:$ZZ, MATCH($B88, Volcado_Dist!$A:$A, 0), MATCH(J$2, Volcado_Dist!$1:$1, 0)) / SUM(INDEX(Volcado_Dist!$A:$ZZ, 0, MATCH(J$2, Volcado_Dist!$1:$1, 0))), 0)</f>
        <v>9.7952254169678649E-2</v>
      </c>
      <c r="K88" s="16">
        <f>IFERROR(INDEX(Volcado_Dist!$A:$ZZ, MATCH($B88, Volcado_Dist!$A:$A, 0), MATCH(K$2, Volcado_Dist!$1:$1, 0)) / SUM(INDEX(Volcado_Dist!$A:$ZZ, 0, MATCH(K$2, Volcado_Dist!$1:$1, 0))), 0)</f>
        <v>2.9252491741560131E-2</v>
      </c>
      <c r="L88" s="16">
        <f>IFERROR(INDEX(Volcado_Dist!$A:$ZZ, MATCH($B88, Volcado_Dist!$A:$A, 0), MATCH(L$2, Volcado_Dist!$1:$1, 0)) / SUM(INDEX(Volcado_Dist!$A:$ZZ, 0, MATCH(L$2, Volcado_Dist!$1:$1, 0))), 0)</f>
        <v>1.6808787731236792E-2</v>
      </c>
      <c r="M88" s="16">
        <f>IFERROR(INDEX(Volcado_Dist!$A:$ZZ, MATCH($B88, Volcado_Dist!$A:$A, 0), MATCH(M$2, Volcado_Dist!$1:$1, 0)) / SUM(INDEX(Volcado_Dist!$A:$ZZ, 0, MATCH(M$2, Volcado_Dist!$1:$1, 0))), 0)</f>
        <v>3.0691756913354306E-2</v>
      </c>
      <c r="N88" s="16">
        <f>IFERROR(INDEX(Volcado_Dist!$A:$ZZ, MATCH($B88, Volcado_Dist!$A:$A, 0), MATCH(N$2, Volcado_Dist!$1:$1, 0)) / SUM(INDEX(Volcado_Dist!$A:$ZZ, 0, MATCH(N$2, Volcado_Dist!$1:$1, 0))), 0)</f>
        <v>0</v>
      </c>
      <c r="O88" s="16">
        <f>IFERROR(INDEX(Volcado_Dist!$A:$ZZ, MATCH($B88, Volcado_Dist!$A:$A, 0), MATCH(O$2, Volcado_Dist!$1:$1, 0)) / SUM(INDEX(Volcado_Dist!$A:$ZZ, 0, MATCH(O$2, Volcado_Dist!$1:$1, 0))), 0)</f>
        <v>9.64449087905935E-3</v>
      </c>
      <c r="P88" s="16">
        <f>IFERROR(INDEX(Volcado_Dist!$A:$ZZ, MATCH($B88, Volcado_Dist!$A:$A, 0), MATCH(P$2, Volcado_Dist!$1:$1, 0)) / SUM(INDEX(Volcado_Dist!$A:$ZZ, 0, MATCH(P$2, Volcado_Dist!$1:$1, 0))), 0)</f>
        <v>3.7122597631039415E-2</v>
      </c>
      <c r="Q88" s="16">
        <f>IFERROR(INDEX(Volcado_Dist!$A:$ZZ, MATCH($B88, Volcado_Dist!$A:$A, 0), MATCH(Q$2, Volcado_Dist!$1:$1, 0)) / SUM(INDEX(Volcado_Dist!$A:$ZZ, 0, MATCH(Q$2, Volcado_Dist!$1:$1, 0))), 0)</f>
        <v>1.1937626555332332E-2</v>
      </c>
      <c r="R88" s="16">
        <f>IFERROR(INDEX(Volcado_Dist!$A:$ZZ, MATCH($B88, Volcado_Dist!$A:$A, 0), MATCH(R$2, Volcado_Dist!$1:$1, 0)) / SUM(INDEX(Volcado_Dist!$A:$ZZ, 0, MATCH(R$2, Volcado_Dist!$1:$1, 0))), 0)</f>
        <v>8.8147480979473197E-2</v>
      </c>
      <c r="S88" s="16">
        <f>IFERROR(INDEX(Volcado_Dist!$A:$ZZ, MATCH($B88, Volcado_Dist!$A:$A, 0), MATCH(S$2, Volcado_Dist!$1:$1, 0)) / SUM(INDEX(Volcado_Dist!$A:$ZZ, 0, MATCH(S$2, Volcado_Dist!$1:$1, 0))), 0)</f>
        <v>2.7886401436856171E-2</v>
      </c>
      <c r="T88" s="16">
        <f>IFERROR(INDEX(Volcado_Dist!$A:$ZZ, MATCH($B88, Volcado_Dist!$A:$A, 0), MATCH(T$2, Volcado_Dist!$1:$1, 0)) / SUM(INDEX(Volcado_Dist!$A:$ZZ, 0, MATCH(T$2, Volcado_Dist!$1:$1, 0))), 0)</f>
        <v>3.0457719832295456E-2</v>
      </c>
      <c r="U88" s="16">
        <f>IFERROR(INDEX(Volcado_Dist!$A:$ZZ, MATCH($B88, Volcado_Dist!$A:$A, 0), MATCH(U$2, Volcado_Dist!$1:$1, 0)) / SUM(INDEX(Volcado_Dist!$A:$ZZ, 0, MATCH(U$2, Volcado_Dist!$1:$1, 0))), 0)</f>
        <v>3.2000907474954786E-2</v>
      </c>
      <c r="V88" s="16">
        <f>IFERROR(INDEX(Volcado_Dist!$A:$ZZ, MATCH($B88, Volcado_Dist!$A:$A, 0), MATCH(V$2, Volcado_Dist!$1:$1, 0)) / SUM(INDEX(Volcado_Dist!$A:$ZZ, 0, MATCH(V$2, Volcado_Dist!$1:$1, 0))), 0)</f>
        <v>2.018718027353902E-2</v>
      </c>
      <c r="W88" s="16">
        <f t="shared" si="3"/>
        <v>4.4629365759197112E-2</v>
      </c>
      <c r="X88" s="17">
        <f>IFERROR(SUM(_xlfn.XLOOKUP($B88, Volcado_Vend!$A:$A, Volcado_Vend!$C:$ZZ, 0)) / SUM(Volcado_Vend!$C:$ZZ), 0)</f>
        <v>3.8372572822113239E-2</v>
      </c>
      <c r="Y88" s="24">
        <f t="shared" si="2"/>
        <v>4.1500969290655179E-2</v>
      </c>
    </row>
    <row r="89" spans="2:25" x14ac:dyDescent="0.25">
      <c r="B89" s="15" t="s">
        <v>113</v>
      </c>
      <c r="C89" s="16">
        <f>IFERROR(INDEX(Volcado_Dist!$A:$ZZ, MATCH($B89, Volcado_Dist!$A:$A, 0), MATCH(C$2, Volcado_Dist!$1:$1, 0)) / SUM(INDEX(Volcado_Dist!$A:$ZZ, 0, MATCH(C$2, Volcado_Dist!$1:$1, 0))), 0)</f>
        <v>9.5757447397078102E-4</v>
      </c>
      <c r="D89" s="16">
        <f>IFERROR(INDEX(Volcado_Dist!$A:$ZZ, MATCH($B89, Volcado_Dist!$A:$A, 0), MATCH(D$2, Volcado_Dist!$1:$1, 0)) / SUM(INDEX(Volcado_Dist!$A:$ZZ, 0, MATCH(D$2, Volcado_Dist!$1:$1, 0))), 0)</f>
        <v>0</v>
      </c>
      <c r="E89" s="16">
        <f>IFERROR(INDEX(Volcado_Dist!$A:$ZZ, MATCH($B89, Volcado_Dist!$A:$A, 0), MATCH(E$2, Volcado_Dist!$1:$1, 0)) / SUM(INDEX(Volcado_Dist!$A:$ZZ, 0, MATCH(E$2, Volcado_Dist!$1:$1, 0))), 0)</f>
        <v>0</v>
      </c>
      <c r="F89" s="16">
        <f>IFERROR(INDEX(Volcado_Dist!$A:$ZZ, MATCH($B89, Volcado_Dist!$A:$A, 0), MATCH(F$2, Volcado_Dist!$1:$1, 0)) / SUM(INDEX(Volcado_Dist!$A:$ZZ, 0, MATCH(F$2, Volcado_Dist!$1:$1, 0))), 0)</f>
        <v>2.2580226317014634E-3</v>
      </c>
      <c r="G89" s="16">
        <f>IFERROR(INDEX(Volcado_Dist!$A:$ZZ, MATCH($B89, Volcado_Dist!$A:$A, 0), MATCH(G$2, Volcado_Dist!$1:$1, 0)) / SUM(INDEX(Volcado_Dist!$A:$ZZ, 0, MATCH(G$2, Volcado_Dist!$1:$1, 0))), 0)</f>
        <v>0</v>
      </c>
      <c r="H89" s="16">
        <f>IFERROR(INDEX(Volcado_Dist!$A:$ZZ, MATCH($B89, Volcado_Dist!$A:$A, 0), MATCH(H$2, Volcado_Dist!$1:$1, 0)) / SUM(INDEX(Volcado_Dist!$A:$ZZ, 0, MATCH(H$2, Volcado_Dist!$1:$1, 0))), 0)</f>
        <v>0</v>
      </c>
      <c r="I89" s="16">
        <f>IFERROR(INDEX(Volcado_Dist!$A:$ZZ, MATCH($B89, Volcado_Dist!$A:$A, 0), MATCH(I$2, Volcado_Dist!$1:$1, 0)) / SUM(INDEX(Volcado_Dist!$A:$ZZ, 0, MATCH(I$2, Volcado_Dist!$1:$1, 0))), 0)</f>
        <v>-2.2727693884530042E-5</v>
      </c>
      <c r="J89" s="16">
        <f>IFERROR(INDEX(Volcado_Dist!$A:$ZZ, MATCH($B89, Volcado_Dist!$A:$A, 0), MATCH(J$2, Volcado_Dist!$1:$1, 0)) / SUM(INDEX(Volcado_Dist!$A:$ZZ, 0, MATCH(J$2, Volcado_Dist!$1:$1, 0))), 0)</f>
        <v>0</v>
      </c>
      <c r="K89" s="16">
        <f>IFERROR(INDEX(Volcado_Dist!$A:$ZZ, MATCH($B89, Volcado_Dist!$A:$A, 0), MATCH(K$2, Volcado_Dist!$1:$1, 0)) / SUM(INDEX(Volcado_Dist!$A:$ZZ, 0, MATCH(K$2, Volcado_Dist!$1:$1, 0))), 0)</f>
        <v>3.0725751181390556E-4</v>
      </c>
      <c r="L89" s="16">
        <f>IFERROR(INDEX(Volcado_Dist!$A:$ZZ, MATCH($B89, Volcado_Dist!$A:$A, 0), MATCH(L$2, Volcado_Dist!$1:$1, 0)) / SUM(INDEX(Volcado_Dist!$A:$ZZ, 0, MATCH(L$2, Volcado_Dist!$1:$1, 0))), 0)</f>
        <v>0</v>
      </c>
      <c r="M89" s="16">
        <f>IFERROR(INDEX(Volcado_Dist!$A:$ZZ, MATCH($B89, Volcado_Dist!$A:$A, 0), MATCH(M$2, Volcado_Dist!$1:$1, 0)) / SUM(INDEX(Volcado_Dist!$A:$ZZ, 0, MATCH(M$2, Volcado_Dist!$1:$1, 0))), 0)</f>
        <v>-2.1797408190415033E-3</v>
      </c>
      <c r="N89" s="16">
        <f>IFERROR(INDEX(Volcado_Dist!$A:$ZZ, MATCH($B89, Volcado_Dist!$A:$A, 0), MATCH(N$2, Volcado_Dist!$1:$1, 0)) / SUM(INDEX(Volcado_Dist!$A:$ZZ, 0, MATCH(N$2, Volcado_Dist!$1:$1, 0))), 0)</f>
        <v>0</v>
      </c>
      <c r="O89" s="16">
        <f>IFERROR(INDEX(Volcado_Dist!$A:$ZZ, MATCH($B89, Volcado_Dist!$A:$A, 0), MATCH(O$2, Volcado_Dist!$1:$1, 0)) / SUM(INDEX(Volcado_Dist!$A:$ZZ, 0, MATCH(O$2, Volcado_Dist!$1:$1, 0))), 0)</f>
        <v>0</v>
      </c>
      <c r="P89" s="16">
        <f>IFERROR(INDEX(Volcado_Dist!$A:$ZZ, MATCH($B89, Volcado_Dist!$A:$A, 0), MATCH(P$2, Volcado_Dist!$1:$1, 0)) / SUM(INDEX(Volcado_Dist!$A:$ZZ, 0, MATCH(P$2, Volcado_Dist!$1:$1, 0))), 0)</f>
        <v>2.2771656121495921E-3</v>
      </c>
      <c r="Q89" s="16">
        <f>IFERROR(INDEX(Volcado_Dist!$A:$ZZ, MATCH($B89, Volcado_Dist!$A:$A, 0), MATCH(Q$2, Volcado_Dist!$1:$1, 0)) / SUM(INDEX(Volcado_Dist!$A:$ZZ, 0, MATCH(Q$2, Volcado_Dist!$1:$1, 0))), 0)</f>
        <v>0</v>
      </c>
      <c r="R89" s="16">
        <f>IFERROR(INDEX(Volcado_Dist!$A:$ZZ, MATCH($B89, Volcado_Dist!$A:$A, 0), MATCH(R$2, Volcado_Dist!$1:$1, 0)) / SUM(INDEX(Volcado_Dist!$A:$ZZ, 0, MATCH(R$2, Volcado_Dist!$1:$1, 0))), 0)</f>
        <v>0</v>
      </c>
      <c r="S89" s="16">
        <f>IFERROR(INDEX(Volcado_Dist!$A:$ZZ, MATCH($B89, Volcado_Dist!$A:$A, 0), MATCH(S$2, Volcado_Dist!$1:$1, 0)) / SUM(INDEX(Volcado_Dist!$A:$ZZ, 0, MATCH(S$2, Volcado_Dist!$1:$1, 0))), 0)</f>
        <v>3.3355454413767547E-4</v>
      </c>
      <c r="T89" s="16">
        <f>IFERROR(INDEX(Volcado_Dist!$A:$ZZ, MATCH($B89, Volcado_Dist!$A:$A, 0), MATCH(T$2, Volcado_Dist!$1:$1, 0)) / SUM(INDEX(Volcado_Dist!$A:$ZZ, 0, MATCH(T$2, Volcado_Dist!$1:$1, 0))), 0)</f>
        <v>0</v>
      </c>
      <c r="U89" s="16">
        <f>IFERROR(INDEX(Volcado_Dist!$A:$ZZ, MATCH($B89, Volcado_Dist!$A:$A, 0), MATCH(U$2, Volcado_Dist!$1:$1, 0)) / SUM(INDEX(Volcado_Dist!$A:$ZZ, 0, MATCH(U$2, Volcado_Dist!$1:$1, 0))), 0)</f>
        <v>0</v>
      </c>
      <c r="V89" s="16">
        <f>IFERROR(INDEX(Volcado_Dist!$A:$ZZ, MATCH($B89, Volcado_Dist!$A:$A, 0), MATCH(V$2, Volcado_Dist!$1:$1, 0)) / SUM(INDEX(Volcado_Dist!$A:$ZZ, 0, MATCH(V$2, Volcado_Dist!$1:$1, 0))), 0)</f>
        <v>0</v>
      </c>
      <c r="W89" s="16">
        <f t="shared" si="3"/>
        <v>1.9655531304236924E-4</v>
      </c>
      <c r="X89" s="17">
        <f>IFERROR(SUM(_xlfn.XLOOKUP($B89, Volcado_Vend!$A:$A, Volcado_Vend!$C:$ZZ, 0)) / SUM(Volcado_Vend!$C:$ZZ), 0)</f>
        <v>1.034250531812553E-3</v>
      </c>
      <c r="Y89" s="24">
        <f t="shared" si="2"/>
        <v>6.1540292242746116E-4</v>
      </c>
    </row>
    <row r="90" spans="2:25" x14ac:dyDescent="0.25">
      <c r="B90" s="15" t="s">
        <v>114</v>
      </c>
      <c r="C90" s="16">
        <f>IFERROR(INDEX(Volcado_Dist!$A:$ZZ, MATCH($B90, Volcado_Dist!$A:$A, 0), MATCH(C$2, Volcado_Dist!$1:$1, 0)) / SUM(INDEX(Volcado_Dist!$A:$ZZ, 0, MATCH(C$2, Volcado_Dist!$1:$1, 0))), 0)</f>
        <v>0</v>
      </c>
      <c r="D90" s="16">
        <f>IFERROR(INDEX(Volcado_Dist!$A:$ZZ, MATCH($B90, Volcado_Dist!$A:$A, 0), MATCH(D$2, Volcado_Dist!$1:$1, 0)) / SUM(INDEX(Volcado_Dist!$A:$ZZ, 0, MATCH(D$2, Volcado_Dist!$1:$1, 0))), 0)</f>
        <v>0</v>
      </c>
      <c r="E90" s="16">
        <f>IFERROR(INDEX(Volcado_Dist!$A:$ZZ, MATCH($B90, Volcado_Dist!$A:$A, 0), MATCH(E$2, Volcado_Dist!$1:$1, 0)) / SUM(INDEX(Volcado_Dist!$A:$ZZ, 0, MATCH(E$2, Volcado_Dist!$1:$1, 0))), 0)</f>
        <v>0</v>
      </c>
      <c r="F90" s="16">
        <f>IFERROR(INDEX(Volcado_Dist!$A:$ZZ, MATCH($B90, Volcado_Dist!$A:$A, 0), MATCH(F$2, Volcado_Dist!$1:$1, 0)) / SUM(INDEX(Volcado_Dist!$A:$ZZ, 0, MATCH(F$2, Volcado_Dist!$1:$1, 0))), 0)</f>
        <v>0</v>
      </c>
      <c r="G90" s="16">
        <f>IFERROR(INDEX(Volcado_Dist!$A:$ZZ, MATCH($B90, Volcado_Dist!$A:$A, 0), MATCH(G$2, Volcado_Dist!$1:$1, 0)) / SUM(INDEX(Volcado_Dist!$A:$ZZ, 0, MATCH(G$2, Volcado_Dist!$1:$1, 0))), 0)</f>
        <v>0</v>
      </c>
      <c r="H90" s="16">
        <f>IFERROR(INDEX(Volcado_Dist!$A:$ZZ, MATCH($B90, Volcado_Dist!$A:$A, 0), MATCH(H$2, Volcado_Dist!$1:$1, 0)) / SUM(INDEX(Volcado_Dist!$A:$ZZ, 0, MATCH(H$2, Volcado_Dist!$1:$1, 0))), 0)</f>
        <v>0</v>
      </c>
      <c r="I90" s="16">
        <f>IFERROR(INDEX(Volcado_Dist!$A:$ZZ, MATCH($B90, Volcado_Dist!$A:$A, 0), MATCH(I$2, Volcado_Dist!$1:$1, 0)) / SUM(INDEX(Volcado_Dist!$A:$ZZ, 0, MATCH(I$2, Volcado_Dist!$1:$1, 0))), 0)</f>
        <v>0</v>
      </c>
      <c r="J90" s="16">
        <f>IFERROR(INDEX(Volcado_Dist!$A:$ZZ, MATCH($B90, Volcado_Dist!$A:$A, 0), MATCH(J$2, Volcado_Dist!$1:$1, 0)) / SUM(INDEX(Volcado_Dist!$A:$ZZ, 0, MATCH(J$2, Volcado_Dist!$1:$1, 0))), 0)</f>
        <v>0</v>
      </c>
      <c r="K90" s="16">
        <f>IFERROR(INDEX(Volcado_Dist!$A:$ZZ, MATCH($B90, Volcado_Dist!$A:$A, 0), MATCH(K$2, Volcado_Dist!$1:$1, 0)) / SUM(INDEX(Volcado_Dist!$A:$ZZ, 0, MATCH(K$2, Volcado_Dist!$1:$1, 0))), 0)</f>
        <v>4.5950815284466912E-4</v>
      </c>
      <c r="L90" s="16">
        <f>IFERROR(INDEX(Volcado_Dist!$A:$ZZ, MATCH($B90, Volcado_Dist!$A:$A, 0), MATCH(L$2, Volcado_Dist!$1:$1, 0)) / SUM(INDEX(Volcado_Dist!$A:$ZZ, 0, MATCH(L$2, Volcado_Dist!$1:$1, 0))), 0)</f>
        <v>0</v>
      </c>
      <c r="M90" s="16">
        <f>IFERROR(INDEX(Volcado_Dist!$A:$ZZ, MATCH($B90, Volcado_Dist!$A:$A, 0), MATCH(M$2, Volcado_Dist!$1:$1, 0)) / SUM(INDEX(Volcado_Dist!$A:$ZZ, 0, MATCH(M$2, Volcado_Dist!$1:$1, 0))), 0)</f>
        <v>2.8141537973707005E-3</v>
      </c>
      <c r="N90" s="16">
        <f>IFERROR(INDEX(Volcado_Dist!$A:$ZZ, MATCH($B90, Volcado_Dist!$A:$A, 0), MATCH(N$2, Volcado_Dist!$1:$1, 0)) / SUM(INDEX(Volcado_Dist!$A:$ZZ, 0, MATCH(N$2, Volcado_Dist!$1:$1, 0))), 0)</f>
        <v>0</v>
      </c>
      <c r="O90" s="16">
        <f>IFERROR(INDEX(Volcado_Dist!$A:$ZZ, MATCH($B90, Volcado_Dist!$A:$A, 0), MATCH(O$2, Volcado_Dist!$1:$1, 0)) / SUM(INDEX(Volcado_Dist!$A:$ZZ, 0, MATCH(O$2, Volcado_Dist!$1:$1, 0))), 0)</f>
        <v>0</v>
      </c>
      <c r="P90" s="16">
        <f>IFERROR(INDEX(Volcado_Dist!$A:$ZZ, MATCH($B90, Volcado_Dist!$A:$A, 0), MATCH(P$2, Volcado_Dist!$1:$1, 0)) / SUM(INDEX(Volcado_Dist!$A:$ZZ, 0, MATCH(P$2, Volcado_Dist!$1:$1, 0))), 0)</f>
        <v>0</v>
      </c>
      <c r="Q90" s="16">
        <f>IFERROR(INDEX(Volcado_Dist!$A:$ZZ, MATCH($B90, Volcado_Dist!$A:$A, 0), MATCH(Q$2, Volcado_Dist!$1:$1, 0)) / SUM(INDEX(Volcado_Dist!$A:$ZZ, 0, MATCH(Q$2, Volcado_Dist!$1:$1, 0))), 0)</f>
        <v>0</v>
      </c>
      <c r="R90" s="16">
        <f>IFERROR(INDEX(Volcado_Dist!$A:$ZZ, MATCH($B90, Volcado_Dist!$A:$A, 0), MATCH(R$2, Volcado_Dist!$1:$1, 0)) / SUM(INDEX(Volcado_Dist!$A:$ZZ, 0, MATCH(R$2, Volcado_Dist!$1:$1, 0))), 0)</f>
        <v>0</v>
      </c>
      <c r="S90" s="16">
        <f>IFERROR(INDEX(Volcado_Dist!$A:$ZZ, MATCH($B90, Volcado_Dist!$A:$A, 0), MATCH(S$2, Volcado_Dist!$1:$1, 0)) / SUM(INDEX(Volcado_Dist!$A:$ZZ, 0, MATCH(S$2, Volcado_Dist!$1:$1, 0))), 0)</f>
        <v>0</v>
      </c>
      <c r="T90" s="16">
        <f>IFERROR(INDEX(Volcado_Dist!$A:$ZZ, MATCH($B90, Volcado_Dist!$A:$A, 0), MATCH(T$2, Volcado_Dist!$1:$1, 0)) / SUM(INDEX(Volcado_Dist!$A:$ZZ, 0, MATCH(T$2, Volcado_Dist!$1:$1, 0))), 0)</f>
        <v>0</v>
      </c>
      <c r="U90" s="16">
        <f>IFERROR(INDEX(Volcado_Dist!$A:$ZZ, MATCH($B90, Volcado_Dist!$A:$A, 0), MATCH(U$2, Volcado_Dist!$1:$1, 0)) / SUM(INDEX(Volcado_Dist!$A:$ZZ, 0, MATCH(U$2, Volcado_Dist!$1:$1, 0))), 0)</f>
        <v>0</v>
      </c>
      <c r="V90" s="16">
        <f>IFERROR(INDEX(Volcado_Dist!$A:$ZZ, MATCH($B90, Volcado_Dist!$A:$A, 0), MATCH(V$2, Volcado_Dist!$1:$1, 0)) / SUM(INDEX(Volcado_Dist!$A:$ZZ, 0, MATCH(V$2, Volcado_Dist!$1:$1, 0))), 0)</f>
        <v>0</v>
      </c>
      <c r="W90" s="16">
        <f t="shared" si="3"/>
        <v>1.6368309751076847E-4</v>
      </c>
      <c r="X90" s="17">
        <f>IFERROR(SUM(_xlfn.XLOOKUP($B90, Volcado_Vend!$A:$A, Volcado_Vend!$C:$ZZ, 0)) / SUM(Volcado_Vend!$C:$ZZ), 0)</f>
        <v>6.417265655347849E-3</v>
      </c>
      <c r="Y90" s="24">
        <f t="shared" si="2"/>
        <v>3.2904743764293086E-3</v>
      </c>
    </row>
    <row r="91" spans="2:25" x14ac:dyDescent="0.25">
      <c r="B91" s="15" t="s">
        <v>115</v>
      </c>
      <c r="C91" s="16">
        <f>IFERROR(INDEX(Volcado_Dist!$A:$ZZ, MATCH($B91, Volcado_Dist!$A:$A, 0), MATCH(C$2, Volcado_Dist!$1:$1, 0)) / SUM(INDEX(Volcado_Dist!$A:$ZZ, 0, MATCH(C$2, Volcado_Dist!$1:$1, 0))), 0)</f>
        <v>-6.0487892493241081E-2</v>
      </c>
      <c r="D91" s="16">
        <f>IFERROR(INDEX(Volcado_Dist!$A:$ZZ, MATCH($B91, Volcado_Dist!$A:$A, 0), MATCH(D$2, Volcado_Dist!$1:$1, 0)) / SUM(INDEX(Volcado_Dist!$A:$ZZ, 0, MATCH(D$2, Volcado_Dist!$1:$1, 0))), 0)</f>
        <v>-1.9578475083856864E-2</v>
      </c>
      <c r="E91" s="16">
        <f>IFERROR(INDEX(Volcado_Dist!$A:$ZZ, MATCH($B91, Volcado_Dist!$A:$A, 0), MATCH(E$2, Volcado_Dist!$1:$1, 0)) / SUM(INDEX(Volcado_Dist!$A:$ZZ, 0, MATCH(E$2, Volcado_Dist!$1:$1, 0))), 0)</f>
        <v>-2.2943874159873447E-2</v>
      </c>
      <c r="F91" s="16">
        <f>IFERROR(INDEX(Volcado_Dist!$A:$ZZ, MATCH($B91, Volcado_Dist!$A:$A, 0), MATCH(F$2, Volcado_Dist!$1:$1, 0)) / SUM(INDEX(Volcado_Dist!$A:$ZZ, 0, MATCH(F$2, Volcado_Dist!$1:$1, 0))), 0)</f>
        <v>-5.8224652289995911E-2</v>
      </c>
      <c r="G91" s="16">
        <f>IFERROR(INDEX(Volcado_Dist!$A:$ZZ, MATCH($B91, Volcado_Dist!$A:$A, 0), MATCH(G$2, Volcado_Dist!$1:$1, 0)) / SUM(INDEX(Volcado_Dist!$A:$ZZ, 0, MATCH(G$2, Volcado_Dist!$1:$1, 0))), 0)</f>
        <v>0</v>
      </c>
      <c r="H91" s="16">
        <f>IFERROR(INDEX(Volcado_Dist!$A:$ZZ, MATCH($B91, Volcado_Dist!$A:$A, 0), MATCH(H$2, Volcado_Dist!$1:$1, 0)) / SUM(INDEX(Volcado_Dist!$A:$ZZ, 0, MATCH(H$2, Volcado_Dist!$1:$1, 0))), 0)</f>
        <v>0</v>
      </c>
      <c r="I91" s="16">
        <f>IFERROR(INDEX(Volcado_Dist!$A:$ZZ, MATCH($B91, Volcado_Dist!$A:$A, 0), MATCH(I$2, Volcado_Dist!$1:$1, 0)) / SUM(INDEX(Volcado_Dist!$A:$ZZ, 0, MATCH(I$2, Volcado_Dist!$1:$1, 0))), 0)</f>
        <v>-7.0147353576056226E-2</v>
      </c>
      <c r="J91" s="16">
        <f>IFERROR(INDEX(Volcado_Dist!$A:$ZZ, MATCH($B91, Volcado_Dist!$A:$A, 0), MATCH(J$2, Volcado_Dist!$1:$1, 0)) / SUM(INDEX(Volcado_Dist!$A:$ZZ, 0, MATCH(J$2, Volcado_Dist!$1:$1, 0))), 0)</f>
        <v>-5.5785918654544742E-2</v>
      </c>
      <c r="K91" s="16">
        <f>IFERROR(INDEX(Volcado_Dist!$A:$ZZ, MATCH($B91, Volcado_Dist!$A:$A, 0), MATCH(K$2, Volcado_Dist!$1:$1, 0)) / SUM(INDEX(Volcado_Dist!$A:$ZZ, 0, MATCH(K$2, Volcado_Dist!$1:$1, 0))), 0)</f>
        <v>-5.191059884999262E-2</v>
      </c>
      <c r="L91" s="16">
        <f>IFERROR(INDEX(Volcado_Dist!$A:$ZZ, MATCH($B91, Volcado_Dist!$A:$A, 0), MATCH(L$2, Volcado_Dist!$1:$1, 0)) / SUM(INDEX(Volcado_Dist!$A:$ZZ, 0, MATCH(L$2, Volcado_Dist!$1:$1, 0))), 0)</f>
        <v>-2.7131076009461557E-2</v>
      </c>
      <c r="M91" s="16">
        <f>IFERROR(INDEX(Volcado_Dist!$A:$ZZ, MATCH($B91, Volcado_Dist!$A:$A, 0), MATCH(M$2, Volcado_Dist!$1:$1, 0)) / SUM(INDEX(Volcado_Dist!$A:$ZZ, 0, MATCH(M$2, Volcado_Dist!$1:$1, 0))), 0)</f>
        <v>-0.6850627635589901</v>
      </c>
      <c r="N91" s="16">
        <f>IFERROR(INDEX(Volcado_Dist!$A:$ZZ, MATCH($B91, Volcado_Dist!$A:$A, 0), MATCH(N$2, Volcado_Dist!$1:$1, 0)) / SUM(INDEX(Volcado_Dist!$A:$ZZ, 0, MATCH(N$2, Volcado_Dist!$1:$1, 0))), 0)</f>
        <v>0</v>
      </c>
      <c r="O91" s="16">
        <f>IFERROR(INDEX(Volcado_Dist!$A:$ZZ, MATCH($B91, Volcado_Dist!$A:$A, 0), MATCH(O$2, Volcado_Dist!$1:$1, 0)) / SUM(INDEX(Volcado_Dist!$A:$ZZ, 0, MATCH(O$2, Volcado_Dist!$1:$1, 0))), 0)</f>
        <v>-4.3190339254498791E-2</v>
      </c>
      <c r="P91" s="16">
        <f>IFERROR(INDEX(Volcado_Dist!$A:$ZZ, MATCH($B91, Volcado_Dist!$A:$A, 0), MATCH(P$2, Volcado_Dist!$1:$1, 0)) / SUM(INDEX(Volcado_Dist!$A:$ZZ, 0, MATCH(P$2, Volcado_Dist!$1:$1, 0))), 0)</f>
        <v>-5.6776356548653047E-2</v>
      </c>
      <c r="Q91" s="16">
        <f>IFERROR(INDEX(Volcado_Dist!$A:$ZZ, MATCH($B91, Volcado_Dist!$A:$A, 0), MATCH(Q$2, Volcado_Dist!$1:$1, 0)) / SUM(INDEX(Volcado_Dist!$A:$ZZ, 0, MATCH(Q$2, Volcado_Dist!$1:$1, 0))), 0)</f>
        <v>-4.4390090591264759E-2</v>
      </c>
      <c r="R91" s="16">
        <f>IFERROR(INDEX(Volcado_Dist!$A:$ZZ, MATCH($B91, Volcado_Dist!$A:$A, 0), MATCH(R$2, Volcado_Dist!$1:$1, 0)) / SUM(INDEX(Volcado_Dist!$A:$ZZ, 0, MATCH(R$2, Volcado_Dist!$1:$1, 0))), 0)</f>
        <v>0</v>
      </c>
      <c r="S91" s="16">
        <f>IFERROR(INDEX(Volcado_Dist!$A:$ZZ, MATCH($B91, Volcado_Dist!$A:$A, 0), MATCH(S$2, Volcado_Dist!$1:$1, 0)) / SUM(INDEX(Volcado_Dist!$A:$ZZ, 0, MATCH(S$2, Volcado_Dist!$1:$1, 0))), 0)</f>
        <v>-3.2260038488299184E-2</v>
      </c>
      <c r="T91" s="16">
        <f>IFERROR(INDEX(Volcado_Dist!$A:$ZZ, MATCH($B91, Volcado_Dist!$A:$A, 0), MATCH(T$2, Volcado_Dist!$1:$1, 0)) / SUM(INDEX(Volcado_Dist!$A:$ZZ, 0, MATCH(T$2, Volcado_Dist!$1:$1, 0))), 0)</f>
        <v>-1.2748523267975588E-3</v>
      </c>
      <c r="U91" s="16">
        <f>IFERROR(INDEX(Volcado_Dist!$A:$ZZ, MATCH($B91, Volcado_Dist!$A:$A, 0), MATCH(U$2, Volcado_Dist!$1:$1, 0)) / SUM(INDEX(Volcado_Dist!$A:$ZZ, 0, MATCH(U$2, Volcado_Dist!$1:$1, 0))), 0)</f>
        <v>-1.1752159243655712E-2</v>
      </c>
      <c r="V91" s="16">
        <f>IFERROR(INDEX(Volcado_Dist!$A:$ZZ, MATCH($B91, Volcado_Dist!$A:$A, 0), MATCH(V$2, Volcado_Dist!$1:$1, 0)) / SUM(INDEX(Volcado_Dist!$A:$ZZ, 0, MATCH(V$2, Volcado_Dist!$1:$1, 0))), 0)</f>
        <v>0</v>
      </c>
      <c r="W91" s="16">
        <f t="shared" si="3"/>
        <v>-6.2045822056459088E-2</v>
      </c>
      <c r="X91" s="17">
        <f>IFERROR(SUM(_xlfn.XLOOKUP($B91, Volcado_Vend!$A:$A, Volcado_Vend!$C:$ZZ, 0)) / SUM(Volcado_Vend!$C:$ZZ), 0)</f>
        <v>-3.6125581115921813E-3</v>
      </c>
      <c r="Y91" s="24">
        <f t="shared" si="2"/>
        <v>-3.2829190084025635E-2</v>
      </c>
    </row>
    <row r="92" spans="2:25" x14ac:dyDescent="0.25">
      <c r="B92" s="15" t="s">
        <v>116</v>
      </c>
      <c r="C92" s="16">
        <f>IFERROR(INDEX(Volcado_Dist!$A:$ZZ, MATCH($B92, Volcado_Dist!$A:$A, 0), MATCH(C$2, Volcado_Dist!$1:$1, 0)) / SUM(INDEX(Volcado_Dist!$A:$ZZ, 0, MATCH(C$2, Volcado_Dist!$1:$1, 0))), 0)</f>
        <v>0</v>
      </c>
      <c r="D92" s="16">
        <f>IFERROR(INDEX(Volcado_Dist!$A:$ZZ, MATCH($B92, Volcado_Dist!$A:$A, 0), MATCH(D$2, Volcado_Dist!$1:$1, 0)) / SUM(INDEX(Volcado_Dist!$A:$ZZ, 0, MATCH(D$2, Volcado_Dist!$1:$1, 0))), 0)</f>
        <v>0</v>
      </c>
      <c r="E92" s="16">
        <f>IFERROR(INDEX(Volcado_Dist!$A:$ZZ, MATCH($B92, Volcado_Dist!$A:$A, 0), MATCH(E$2, Volcado_Dist!$1:$1, 0)) / SUM(INDEX(Volcado_Dist!$A:$ZZ, 0, MATCH(E$2, Volcado_Dist!$1:$1, 0))), 0)</f>
        <v>1.9105384324109189E-4</v>
      </c>
      <c r="F92" s="16">
        <f>IFERROR(INDEX(Volcado_Dist!$A:$ZZ, MATCH($B92, Volcado_Dist!$A:$A, 0), MATCH(F$2, Volcado_Dist!$1:$1, 0)) / SUM(INDEX(Volcado_Dist!$A:$ZZ, 0, MATCH(F$2, Volcado_Dist!$1:$1, 0))), 0)</f>
        <v>-4.5183135426014401E-5</v>
      </c>
      <c r="G92" s="16">
        <f>IFERROR(INDEX(Volcado_Dist!$A:$ZZ, MATCH($B92, Volcado_Dist!$A:$A, 0), MATCH(G$2, Volcado_Dist!$1:$1, 0)) / SUM(INDEX(Volcado_Dist!$A:$ZZ, 0, MATCH(G$2, Volcado_Dist!$1:$1, 0))), 0)</f>
        <v>0</v>
      </c>
      <c r="H92" s="16">
        <f>IFERROR(INDEX(Volcado_Dist!$A:$ZZ, MATCH($B92, Volcado_Dist!$A:$A, 0), MATCH(H$2, Volcado_Dist!$1:$1, 0)) / SUM(INDEX(Volcado_Dist!$A:$ZZ, 0, MATCH(H$2, Volcado_Dist!$1:$1, 0))), 0)</f>
        <v>0</v>
      </c>
      <c r="I92" s="16">
        <f>IFERROR(INDEX(Volcado_Dist!$A:$ZZ, MATCH($B92, Volcado_Dist!$A:$A, 0), MATCH(I$2, Volcado_Dist!$1:$1, 0)) / SUM(INDEX(Volcado_Dist!$A:$ZZ, 0, MATCH(I$2, Volcado_Dist!$1:$1, 0))), 0)</f>
        <v>-6.4546291461102143E-4</v>
      </c>
      <c r="J92" s="16">
        <f>IFERROR(INDEX(Volcado_Dist!$A:$ZZ, MATCH($B92, Volcado_Dist!$A:$A, 0), MATCH(J$2, Volcado_Dist!$1:$1, 0)) / SUM(INDEX(Volcado_Dist!$A:$ZZ, 0, MATCH(J$2, Volcado_Dist!$1:$1, 0))), 0)</f>
        <v>0</v>
      </c>
      <c r="K92" s="16">
        <f>IFERROR(INDEX(Volcado_Dist!$A:$ZZ, MATCH($B92, Volcado_Dist!$A:$A, 0), MATCH(K$2, Volcado_Dist!$1:$1, 0)) / SUM(INDEX(Volcado_Dist!$A:$ZZ, 0, MATCH(K$2, Volcado_Dist!$1:$1, 0))), 0)</f>
        <v>1.35352421256841E-4</v>
      </c>
      <c r="L92" s="16">
        <f>IFERROR(INDEX(Volcado_Dist!$A:$ZZ, MATCH($B92, Volcado_Dist!$A:$A, 0), MATCH(L$2, Volcado_Dist!$1:$1, 0)) / SUM(INDEX(Volcado_Dist!$A:$ZZ, 0, MATCH(L$2, Volcado_Dist!$1:$1, 0))), 0)</f>
        <v>0</v>
      </c>
      <c r="M92" s="16">
        <f>IFERROR(INDEX(Volcado_Dist!$A:$ZZ, MATCH($B92, Volcado_Dist!$A:$A, 0), MATCH(M$2, Volcado_Dist!$1:$1, 0)) / SUM(INDEX(Volcado_Dist!$A:$ZZ, 0, MATCH(M$2, Volcado_Dist!$1:$1, 0))), 0)</f>
        <v>1.5988220061341422E-2</v>
      </c>
      <c r="N92" s="16">
        <f>IFERROR(INDEX(Volcado_Dist!$A:$ZZ, MATCH($B92, Volcado_Dist!$A:$A, 0), MATCH(N$2, Volcado_Dist!$1:$1, 0)) / SUM(INDEX(Volcado_Dist!$A:$ZZ, 0, MATCH(N$2, Volcado_Dist!$1:$1, 0))), 0)</f>
        <v>0</v>
      </c>
      <c r="O92" s="16">
        <f>IFERROR(INDEX(Volcado_Dist!$A:$ZZ, MATCH($B92, Volcado_Dist!$A:$A, 0), MATCH(O$2, Volcado_Dist!$1:$1, 0)) / SUM(INDEX(Volcado_Dist!$A:$ZZ, 0, MATCH(O$2, Volcado_Dist!$1:$1, 0))), 0)</f>
        <v>0</v>
      </c>
      <c r="P92" s="16">
        <f>IFERROR(INDEX(Volcado_Dist!$A:$ZZ, MATCH($B92, Volcado_Dist!$A:$A, 0), MATCH(P$2, Volcado_Dist!$1:$1, 0)) / SUM(INDEX(Volcado_Dist!$A:$ZZ, 0, MATCH(P$2, Volcado_Dist!$1:$1, 0))), 0)</f>
        <v>8.1263132294450834E-4</v>
      </c>
      <c r="Q92" s="16">
        <f>IFERROR(INDEX(Volcado_Dist!$A:$ZZ, MATCH($B92, Volcado_Dist!$A:$A, 0), MATCH(Q$2, Volcado_Dist!$1:$1, 0)) / SUM(INDEX(Volcado_Dist!$A:$ZZ, 0, MATCH(Q$2, Volcado_Dist!$1:$1, 0))), 0)</f>
        <v>0</v>
      </c>
      <c r="R92" s="16">
        <f>IFERROR(INDEX(Volcado_Dist!$A:$ZZ, MATCH($B92, Volcado_Dist!$A:$A, 0), MATCH(R$2, Volcado_Dist!$1:$1, 0)) / SUM(INDEX(Volcado_Dist!$A:$ZZ, 0, MATCH(R$2, Volcado_Dist!$1:$1, 0))), 0)</f>
        <v>0</v>
      </c>
      <c r="S92" s="16">
        <f>IFERROR(INDEX(Volcado_Dist!$A:$ZZ, MATCH($B92, Volcado_Dist!$A:$A, 0), MATCH(S$2, Volcado_Dist!$1:$1, 0)) / SUM(INDEX(Volcado_Dist!$A:$ZZ, 0, MATCH(S$2, Volcado_Dist!$1:$1, 0))), 0)</f>
        <v>0</v>
      </c>
      <c r="T92" s="16">
        <f>IFERROR(INDEX(Volcado_Dist!$A:$ZZ, MATCH($B92, Volcado_Dist!$A:$A, 0), MATCH(T$2, Volcado_Dist!$1:$1, 0)) / SUM(INDEX(Volcado_Dist!$A:$ZZ, 0, MATCH(T$2, Volcado_Dist!$1:$1, 0))), 0)</f>
        <v>0</v>
      </c>
      <c r="U92" s="16">
        <f>IFERROR(INDEX(Volcado_Dist!$A:$ZZ, MATCH($B92, Volcado_Dist!$A:$A, 0), MATCH(U$2, Volcado_Dist!$1:$1, 0)) / SUM(INDEX(Volcado_Dist!$A:$ZZ, 0, MATCH(U$2, Volcado_Dist!$1:$1, 0))), 0)</f>
        <v>0</v>
      </c>
      <c r="V92" s="16">
        <f>IFERROR(INDEX(Volcado_Dist!$A:$ZZ, MATCH($B92, Volcado_Dist!$A:$A, 0), MATCH(V$2, Volcado_Dist!$1:$1, 0)) / SUM(INDEX(Volcado_Dist!$A:$ZZ, 0, MATCH(V$2, Volcado_Dist!$1:$1, 0))), 0)</f>
        <v>1.3094012088500102E-3</v>
      </c>
      <c r="W92" s="16">
        <f t="shared" si="3"/>
        <v>8.8730064037984176E-4</v>
      </c>
      <c r="X92" s="17">
        <f>IFERROR(SUM(_xlfn.XLOOKUP($B92, Volcado_Vend!$A:$A, Volcado_Vend!$C:$ZZ, 0)) / SUM(Volcado_Vend!$C:$ZZ), 0)</f>
        <v>8.1983273863190178E-4</v>
      </c>
      <c r="Y92" s="24">
        <f t="shared" si="2"/>
        <v>8.5356668950587172E-4</v>
      </c>
    </row>
    <row r="93" spans="2:25" x14ac:dyDescent="0.25">
      <c r="B93" s="15" t="s">
        <v>117</v>
      </c>
      <c r="C93" s="16">
        <f>IFERROR(INDEX(Volcado_Dist!$A:$ZZ, MATCH($B93, Volcado_Dist!$A:$A, 0), MATCH(C$2, Volcado_Dist!$1:$1, 0)) / SUM(INDEX(Volcado_Dist!$A:$ZZ, 0, MATCH(C$2, Volcado_Dist!$1:$1, 0))), 0)</f>
        <v>3.1821652898628237E-3</v>
      </c>
      <c r="D93" s="16">
        <f>IFERROR(INDEX(Volcado_Dist!$A:$ZZ, MATCH($B93, Volcado_Dist!$A:$A, 0), MATCH(D$2, Volcado_Dist!$1:$1, 0)) / SUM(INDEX(Volcado_Dist!$A:$ZZ, 0, MATCH(D$2, Volcado_Dist!$1:$1, 0))), 0)</f>
        <v>0</v>
      </c>
      <c r="E93" s="16">
        <f>IFERROR(INDEX(Volcado_Dist!$A:$ZZ, MATCH($B93, Volcado_Dist!$A:$A, 0), MATCH(E$2, Volcado_Dist!$1:$1, 0)) / SUM(INDEX(Volcado_Dist!$A:$ZZ, 0, MATCH(E$2, Volcado_Dist!$1:$1, 0))), 0)</f>
        <v>1.9669791225311012E-2</v>
      </c>
      <c r="F93" s="16">
        <f>IFERROR(INDEX(Volcado_Dist!$A:$ZZ, MATCH($B93, Volcado_Dist!$A:$A, 0), MATCH(F$2, Volcado_Dist!$1:$1, 0)) / SUM(INDEX(Volcado_Dist!$A:$ZZ, 0, MATCH(F$2, Volcado_Dist!$1:$1, 0))), 0)</f>
        <v>6.009546856766748E-3</v>
      </c>
      <c r="G93" s="16">
        <f>IFERROR(INDEX(Volcado_Dist!$A:$ZZ, MATCH($B93, Volcado_Dist!$A:$A, 0), MATCH(G$2, Volcado_Dist!$1:$1, 0)) / SUM(INDEX(Volcado_Dist!$A:$ZZ, 0, MATCH(G$2, Volcado_Dist!$1:$1, 0))), 0)</f>
        <v>0</v>
      </c>
      <c r="H93" s="16">
        <f>IFERROR(INDEX(Volcado_Dist!$A:$ZZ, MATCH($B93, Volcado_Dist!$A:$A, 0), MATCH(H$2, Volcado_Dist!$1:$1, 0)) / SUM(INDEX(Volcado_Dist!$A:$ZZ, 0, MATCH(H$2, Volcado_Dist!$1:$1, 0))), 0)</f>
        <v>0</v>
      </c>
      <c r="I93" s="16">
        <f>IFERROR(INDEX(Volcado_Dist!$A:$ZZ, MATCH($B93, Volcado_Dist!$A:$A, 0), MATCH(I$2, Volcado_Dist!$1:$1, 0)) / SUM(INDEX(Volcado_Dist!$A:$ZZ, 0, MATCH(I$2, Volcado_Dist!$1:$1, 0))), 0)</f>
        <v>6.9619714854015696E-3</v>
      </c>
      <c r="J93" s="16">
        <f>IFERROR(INDEX(Volcado_Dist!$A:$ZZ, MATCH($B93, Volcado_Dist!$A:$A, 0), MATCH(J$2, Volcado_Dist!$1:$1, 0)) / SUM(INDEX(Volcado_Dist!$A:$ZZ, 0, MATCH(J$2, Volcado_Dist!$1:$1, 0))), 0)</f>
        <v>0</v>
      </c>
      <c r="K93" s="16">
        <f>IFERROR(INDEX(Volcado_Dist!$A:$ZZ, MATCH($B93, Volcado_Dist!$A:$A, 0), MATCH(K$2, Volcado_Dist!$1:$1, 0)) / SUM(INDEX(Volcado_Dist!$A:$ZZ, 0, MATCH(K$2, Volcado_Dist!$1:$1, 0))), 0)</f>
        <v>8.2115214672425167E-3</v>
      </c>
      <c r="L93" s="16">
        <f>IFERROR(INDEX(Volcado_Dist!$A:$ZZ, MATCH($B93, Volcado_Dist!$A:$A, 0), MATCH(L$2, Volcado_Dist!$1:$1, 0)) / SUM(INDEX(Volcado_Dist!$A:$ZZ, 0, MATCH(L$2, Volcado_Dist!$1:$1, 0))), 0)</f>
        <v>1.8447061123124111E-3</v>
      </c>
      <c r="M93" s="16">
        <f>IFERROR(INDEX(Volcado_Dist!$A:$ZZ, MATCH($B93, Volcado_Dist!$A:$A, 0), MATCH(M$2, Volcado_Dist!$1:$1, 0)) / SUM(INDEX(Volcado_Dist!$A:$ZZ, 0, MATCH(M$2, Volcado_Dist!$1:$1, 0))), 0)</f>
        <v>2.2361327045487805E-2</v>
      </c>
      <c r="N93" s="16">
        <f>IFERROR(INDEX(Volcado_Dist!$A:$ZZ, MATCH($B93, Volcado_Dist!$A:$A, 0), MATCH(N$2, Volcado_Dist!$1:$1, 0)) / SUM(INDEX(Volcado_Dist!$A:$ZZ, 0, MATCH(N$2, Volcado_Dist!$1:$1, 0))), 0)</f>
        <v>0</v>
      </c>
      <c r="O93" s="16">
        <f>IFERROR(INDEX(Volcado_Dist!$A:$ZZ, MATCH($B93, Volcado_Dist!$A:$A, 0), MATCH(O$2, Volcado_Dist!$1:$1, 0)) / SUM(INDEX(Volcado_Dist!$A:$ZZ, 0, MATCH(O$2, Volcado_Dist!$1:$1, 0))), 0)</f>
        <v>0</v>
      </c>
      <c r="P93" s="16">
        <f>IFERROR(INDEX(Volcado_Dist!$A:$ZZ, MATCH($B93, Volcado_Dist!$A:$A, 0), MATCH(P$2, Volcado_Dist!$1:$1, 0)) / SUM(INDEX(Volcado_Dist!$A:$ZZ, 0, MATCH(P$2, Volcado_Dist!$1:$1, 0))), 0)</f>
        <v>5.3007231417192407E-3</v>
      </c>
      <c r="Q93" s="16">
        <f>IFERROR(INDEX(Volcado_Dist!$A:$ZZ, MATCH($B93, Volcado_Dist!$A:$A, 0), MATCH(Q$2, Volcado_Dist!$1:$1, 0)) / SUM(INDEX(Volcado_Dist!$A:$ZZ, 0, MATCH(Q$2, Volcado_Dist!$1:$1, 0))), 0)</f>
        <v>-2.814457841303753E-3</v>
      </c>
      <c r="R93" s="16">
        <f>IFERROR(INDEX(Volcado_Dist!$A:$ZZ, MATCH($B93, Volcado_Dist!$A:$A, 0), MATCH(R$2, Volcado_Dist!$1:$1, 0)) / SUM(INDEX(Volcado_Dist!$A:$ZZ, 0, MATCH(R$2, Volcado_Dist!$1:$1, 0))), 0)</f>
        <v>0</v>
      </c>
      <c r="S93" s="16">
        <f>IFERROR(INDEX(Volcado_Dist!$A:$ZZ, MATCH($B93, Volcado_Dist!$A:$A, 0), MATCH(S$2, Volcado_Dist!$1:$1, 0)) / SUM(INDEX(Volcado_Dist!$A:$ZZ, 0, MATCH(S$2, Volcado_Dist!$1:$1, 0))), 0)</f>
        <v>4.385431532560098E-3</v>
      </c>
      <c r="T93" s="16">
        <f>IFERROR(INDEX(Volcado_Dist!$A:$ZZ, MATCH($B93, Volcado_Dist!$A:$A, 0), MATCH(T$2, Volcado_Dist!$1:$1, 0)) / SUM(INDEX(Volcado_Dist!$A:$ZZ, 0, MATCH(T$2, Volcado_Dist!$1:$1, 0))), 0)</f>
        <v>4.2385793271651679E-4</v>
      </c>
      <c r="U93" s="16">
        <f>IFERROR(INDEX(Volcado_Dist!$A:$ZZ, MATCH($B93, Volcado_Dist!$A:$A, 0), MATCH(U$2, Volcado_Dist!$1:$1, 0)) / SUM(INDEX(Volcado_Dist!$A:$ZZ, 0, MATCH(U$2, Volcado_Dist!$1:$1, 0))), 0)</f>
        <v>8.2267678738751696E-3</v>
      </c>
      <c r="V93" s="16">
        <f>IFERROR(INDEX(Volcado_Dist!$A:$ZZ, MATCH($B93, Volcado_Dist!$A:$A, 0), MATCH(V$2, Volcado_Dist!$1:$1, 0)) / SUM(INDEX(Volcado_Dist!$A:$ZZ, 0, MATCH(V$2, Volcado_Dist!$1:$1, 0))), 0)</f>
        <v>1.288285978067393E-2</v>
      </c>
      <c r="W93" s="16">
        <f t="shared" si="3"/>
        <v>4.8323105951313039E-3</v>
      </c>
      <c r="X93" s="17">
        <f>IFERROR(SUM(_xlfn.XLOOKUP($B93, Volcado_Vend!$A:$A, Volcado_Vend!$C:$ZZ, 0)) / SUM(Volcado_Vend!$C:$ZZ), 0)</f>
        <v>1.5280559265332503E-2</v>
      </c>
      <c r="Y93" s="24">
        <f t="shared" si="2"/>
        <v>1.0056434930231903E-2</v>
      </c>
    </row>
    <row r="94" spans="2:25" x14ac:dyDescent="0.25">
      <c r="B94" s="15" t="s">
        <v>118</v>
      </c>
      <c r="C94" s="16">
        <f>IFERROR(INDEX(Volcado_Dist!$A:$ZZ, MATCH($B94, Volcado_Dist!$A:$A, 0), MATCH(C$2, Volcado_Dist!$1:$1, 0)) / SUM(INDEX(Volcado_Dist!$A:$ZZ, 0, MATCH(C$2, Volcado_Dist!$1:$1, 0))), 0)</f>
        <v>0</v>
      </c>
      <c r="D94" s="16">
        <f>IFERROR(INDEX(Volcado_Dist!$A:$ZZ, MATCH($B94, Volcado_Dist!$A:$A, 0), MATCH(D$2, Volcado_Dist!$1:$1, 0)) / SUM(INDEX(Volcado_Dist!$A:$ZZ, 0, MATCH(D$2, Volcado_Dist!$1:$1, 0))), 0)</f>
        <v>0</v>
      </c>
      <c r="E94" s="16">
        <f>IFERROR(INDEX(Volcado_Dist!$A:$ZZ, MATCH($B94, Volcado_Dist!$A:$A, 0), MATCH(E$2, Volcado_Dist!$1:$1, 0)) / SUM(INDEX(Volcado_Dist!$A:$ZZ, 0, MATCH(E$2, Volcado_Dist!$1:$1, 0))), 0)</f>
        <v>1.3841993520312059E-2</v>
      </c>
      <c r="F94" s="16">
        <f>IFERROR(INDEX(Volcado_Dist!$A:$ZZ, MATCH($B94, Volcado_Dist!$A:$A, 0), MATCH(F$2, Volcado_Dist!$1:$1, 0)) / SUM(INDEX(Volcado_Dist!$A:$ZZ, 0, MATCH(F$2, Volcado_Dist!$1:$1, 0))), 0)</f>
        <v>2.3863529928781551E-4</v>
      </c>
      <c r="G94" s="16">
        <f>IFERROR(INDEX(Volcado_Dist!$A:$ZZ, MATCH($B94, Volcado_Dist!$A:$A, 0), MATCH(G$2, Volcado_Dist!$1:$1, 0)) / SUM(INDEX(Volcado_Dist!$A:$ZZ, 0, MATCH(G$2, Volcado_Dist!$1:$1, 0))), 0)</f>
        <v>0</v>
      </c>
      <c r="H94" s="16">
        <f>IFERROR(INDEX(Volcado_Dist!$A:$ZZ, MATCH($B94, Volcado_Dist!$A:$A, 0), MATCH(H$2, Volcado_Dist!$1:$1, 0)) / SUM(INDEX(Volcado_Dist!$A:$ZZ, 0, MATCH(H$2, Volcado_Dist!$1:$1, 0))), 0)</f>
        <v>0</v>
      </c>
      <c r="I94" s="16">
        <f>IFERROR(INDEX(Volcado_Dist!$A:$ZZ, MATCH($B94, Volcado_Dist!$A:$A, 0), MATCH(I$2, Volcado_Dist!$1:$1, 0)) / SUM(INDEX(Volcado_Dist!$A:$ZZ, 0, MATCH(I$2, Volcado_Dist!$1:$1, 0))), 0)</f>
        <v>-3.6413949484262635E-5</v>
      </c>
      <c r="J94" s="16">
        <f>IFERROR(INDEX(Volcado_Dist!$A:$ZZ, MATCH($B94, Volcado_Dist!$A:$A, 0), MATCH(J$2, Volcado_Dist!$1:$1, 0)) / SUM(INDEX(Volcado_Dist!$A:$ZZ, 0, MATCH(J$2, Volcado_Dist!$1:$1, 0))), 0)</f>
        <v>0</v>
      </c>
      <c r="K94" s="16">
        <f>IFERROR(INDEX(Volcado_Dist!$A:$ZZ, MATCH($B94, Volcado_Dist!$A:$A, 0), MATCH(K$2, Volcado_Dist!$1:$1, 0)) / SUM(INDEX(Volcado_Dist!$A:$ZZ, 0, MATCH(K$2, Volcado_Dist!$1:$1, 0))), 0)</f>
        <v>2.3364031320439577E-3</v>
      </c>
      <c r="L94" s="16">
        <f>IFERROR(INDEX(Volcado_Dist!$A:$ZZ, MATCH($B94, Volcado_Dist!$A:$A, 0), MATCH(L$2, Volcado_Dist!$1:$1, 0)) / SUM(INDEX(Volcado_Dist!$A:$ZZ, 0, MATCH(L$2, Volcado_Dist!$1:$1, 0))), 0)</f>
        <v>1.6032586511442216E-3</v>
      </c>
      <c r="M94" s="16">
        <f>IFERROR(INDEX(Volcado_Dist!$A:$ZZ, MATCH($B94, Volcado_Dist!$A:$A, 0), MATCH(M$2, Volcado_Dist!$1:$1, 0)) / SUM(INDEX(Volcado_Dist!$A:$ZZ, 0, MATCH(M$2, Volcado_Dist!$1:$1, 0))), 0)</f>
        <v>1.5095722275025496E-3</v>
      </c>
      <c r="N94" s="16">
        <f>IFERROR(INDEX(Volcado_Dist!$A:$ZZ, MATCH($B94, Volcado_Dist!$A:$A, 0), MATCH(N$2, Volcado_Dist!$1:$1, 0)) / SUM(INDEX(Volcado_Dist!$A:$ZZ, 0, MATCH(N$2, Volcado_Dist!$1:$1, 0))), 0)</f>
        <v>0</v>
      </c>
      <c r="O94" s="16">
        <f>IFERROR(INDEX(Volcado_Dist!$A:$ZZ, MATCH($B94, Volcado_Dist!$A:$A, 0), MATCH(O$2, Volcado_Dist!$1:$1, 0)) / SUM(INDEX(Volcado_Dist!$A:$ZZ, 0, MATCH(O$2, Volcado_Dist!$1:$1, 0))), 0)</f>
        <v>-2.2710692528159584E-3</v>
      </c>
      <c r="P94" s="16">
        <f>IFERROR(INDEX(Volcado_Dist!$A:$ZZ, MATCH($B94, Volcado_Dist!$A:$A, 0), MATCH(P$2, Volcado_Dist!$1:$1, 0)) / SUM(INDEX(Volcado_Dist!$A:$ZZ, 0, MATCH(P$2, Volcado_Dist!$1:$1, 0))), 0)</f>
        <v>6.1410080005354112E-4</v>
      </c>
      <c r="Q94" s="16">
        <f>IFERROR(INDEX(Volcado_Dist!$A:$ZZ, MATCH($B94, Volcado_Dist!$A:$A, 0), MATCH(Q$2, Volcado_Dist!$1:$1, 0)) / SUM(INDEX(Volcado_Dist!$A:$ZZ, 0, MATCH(Q$2, Volcado_Dist!$1:$1, 0))), 0)</f>
        <v>0</v>
      </c>
      <c r="R94" s="16">
        <f>IFERROR(INDEX(Volcado_Dist!$A:$ZZ, MATCH($B94, Volcado_Dist!$A:$A, 0), MATCH(R$2, Volcado_Dist!$1:$1, 0)) / SUM(INDEX(Volcado_Dist!$A:$ZZ, 0, MATCH(R$2, Volcado_Dist!$1:$1, 0))), 0)</f>
        <v>7.330616132411422E-3</v>
      </c>
      <c r="S94" s="16">
        <f>IFERROR(INDEX(Volcado_Dist!$A:$ZZ, MATCH($B94, Volcado_Dist!$A:$A, 0), MATCH(S$2, Volcado_Dist!$1:$1, 0)) / SUM(INDEX(Volcado_Dist!$A:$ZZ, 0, MATCH(S$2, Volcado_Dist!$1:$1, 0))), 0)</f>
        <v>9.4316849149643836E-4</v>
      </c>
      <c r="T94" s="16">
        <f>IFERROR(INDEX(Volcado_Dist!$A:$ZZ, MATCH($B94, Volcado_Dist!$A:$A, 0), MATCH(T$2, Volcado_Dist!$1:$1, 0)) / SUM(INDEX(Volcado_Dist!$A:$ZZ, 0, MATCH(T$2, Volcado_Dist!$1:$1, 0))), 0)</f>
        <v>6.0117601462810104E-3</v>
      </c>
      <c r="U94" s="16">
        <f>IFERROR(INDEX(Volcado_Dist!$A:$ZZ, MATCH($B94, Volcado_Dist!$A:$A, 0), MATCH(U$2, Volcado_Dist!$1:$1, 0)) / SUM(INDEX(Volcado_Dist!$A:$ZZ, 0, MATCH(U$2, Volcado_Dist!$1:$1, 0))), 0)</f>
        <v>0</v>
      </c>
      <c r="V94" s="16">
        <f>IFERROR(INDEX(Volcado_Dist!$A:$ZZ, MATCH($B94, Volcado_Dist!$A:$A, 0), MATCH(V$2, Volcado_Dist!$1:$1, 0)) / SUM(INDEX(Volcado_Dist!$A:$ZZ, 0, MATCH(V$2, Volcado_Dist!$1:$1, 0))), 0)</f>
        <v>4.1025006181295218E-3</v>
      </c>
      <c r="W94" s="16">
        <f t="shared" si="3"/>
        <v>1.8112262908181157E-3</v>
      </c>
      <c r="X94" s="17">
        <f>IFERROR(SUM(_xlfn.XLOOKUP($B94, Volcado_Vend!$A:$A, Volcado_Vend!$C:$ZZ, 0)) / SUM(Volcado_Vend!$C:$ZZ), 0)</f>
        <v>1.6029887494829028E-2</v>
      </c>
      <c r="Y94" s="24">
        <f t="shared" si="2"/>
        <v>8.9205568928235716E-3</v>
      </c>
    </row>
    <row r="95" spans="2:25" x14ac:dyDescent="0.25">
      <c r="B95" s="15" t="s">
        <v>119</v>
      </c>
      <c r="C95" s="16">
        <f>IFERROR(INDEX(Volcado_Dist!$A:$ZZ, MATCH($B95, Volcado_Dist!$A:$A, 0), MATCH(C$2, Volcado_Dist!$1:$1, 0)) / SUM(INDEX(Volcado_Dist!$A:$ZZ, 0, MATCH(C$2, Volcado_Dist!$1:$1, 0))), 0)</f>
        <v>2.3918179463803833E-2</v>
      </c>
      <c r="D95" s="16">
        <f>IFERROR(INDEX(Volcado_Dist!$A:$ZZ, MATCH($B95, Volcado_Dist!$A:$A, 0), MATCH(D$2, Volcado_Dist!$1:$1, 0)) / SUM(INDEX(Volcado_Dist!$A:$ZZ, 0, MATCH(D$2, Volcado_Dist!$1:$1, 0))), 0)</f>
        <v>0</v>
      </c>
      <c r="E95" s="16">
        <f>IFERROR(INDEX(Volcado_Dist!$A:$ZZ, MATCH($B95, Volcado_Dist!$A:$A, 0), MATCH(E$2, Volcado_Dist!$1:$1, 0)) / SUM(INDEX(Volcado_Dist!$A:$ZZ, 0, MATCH(E$2, Volcado_Dist!$1:$1, 0))), 0)</f>
        <v>7.2782959625158662E-3</v>
      </c>
      <c r="F95" s="16">
        <f>IFERROR(INDEX(Volcado_Dist!$A:$ZZ, MATCH($B95, Volcado_Dist!$A:$A, 0), MATCH(F$2, Volcado_Dist!$1:$1, 0)) / SUM(INDEX(Volcado_Dist!$A:$ZZ, 0, MATCH(F$2, Volcado_Dist!$1:$1, 0))), 0)</f>
        <v>1.050849619847132E-2</v>
      </c>
      <c r="G95" s="16">
        <f>IFERROR(INDEX(Volcado_Dist!$A:$ZZ, MATCH($B95, Volcado_Dist!$A:$A, 0), MATCH(G$2, Volcado_Dist!$1:$1, 0)) / SUM(INDEX(Volcado_Dist!$A:$ZZ, 0, MATCH(G$2, Volcado_Dist!$1:$1, 0))), 0)</f>
        <v>0</v>
      </c>
      <c r="H95" s="16">
        <f>IFERROR(INDEX(Volcado_Dist!$A:$ZZ, MATCH($B95, Volcado_Dist!$A:$A, 0), MATCH(H$2, Volcado_Dist!$1:$1, 0)) / SUM(INDEX(Volcado_Dist!$A:$ZZ, 0, MATCH(H$2, Volcado_Dist!$1:$1, 0))), 0)</f>
        <v>3.6271261933729322E-2</v>
      </c>
      <c r="I95" s="16">
        <f>IFERROR(INDEX(Volcado_Dist!$A:$ZZ, MATCH($B95, Volcado_Dist!$A:$A, 0), MATCH(I$2, Volcado_Dist!$1:$1, 0)) / SUM(INDEX(Volcado_Dist!$A:$ZZ, 0, MATCH(I$2, Volcado_Dist!$1:$1, 0))), 0)</f>
        <v>1.5404838006258608E-3</v>
      </c>
      <c r="J95" s="16">
        <f>IFERROR(INDEX(Volcado_Dist!$A:$ZZ, MATCH($B95, Volcado_Dist!$A:$A, 0), MATCH(J$2, Volcado_Dist!$1:$1, 0)) / SUM(INDEX(Volcado_Dist!$A:$ZZ, 0, MATCH(J$2, Volcado_Dist!$1:$1, 0))), 0)</f>
        <v>0</v>
      </c>
      <c r="K95" s="16">
        <f>IFERROR(INDEX(Volcado_Dist!$A:$ZZ, MATCH($B95, Volcado_Dist!$A:$A, 0), MATCH(K$2, Volcado_Dist!$1:$1, 0)) / SUM(INDEX(Volcado_Dist!$A:$ZZ, 0, MATCH(K$2, Volcado_Dist!$1:$1, 0))), 0)</f>
        <v>3.0566907915515668E-2</v>
      </c>
      <c r="L95" s="16">
        <f>IFERROR(INDEX(Volcado_Dist!$A:$ZZ, MATCH($B95, Volcado_Dist!$A:$A, 0), MATCH(L$2, Volcado_Dist!$1:$1, 0)) / SUM(INDEX(Volcado_Dist!$A:$ZZ, 0, MATCH(L$2, Volcado_Dist!$1:$1, 0))), 0)</f>
        <v>1.0119414324715987E-2</v>
      </c>
      <c r="M95" s="16">
        <f>IFERROR(INDEX(Volcado_Dist!$A:$ZZ, MATCH($B95, Volcado_Dist!$A:$A, 0), MATCH(M$2, Volcado_Dist!$1:$1, 0)) / SUM(INDEX(Volcado_Dist!$A:$ZZ, 0, MATCH(M$2, Volcado_Dist!$1:$1, 0))), 0)</f>
        <v>2.1539787563737634E-2</v>
      </c>
      <c r="N95" s="16">
        <f>IFERROR(INDEX(Volcado_Dist!$A:$ZZ, MATCH($B95, Volcado_Dist!$A:$A, 0), MATCH(N$2, Volcado_Dist!$1:$1, 0)) / SUM(INDEX(Volcado_Dist!$A:$ZZ, 0, MATCH(N$2, Volcado_Dist!$1:$1, 0))), 0)</f>
        <v>0</v>
      </c>
      <c r="O95" s="16">
        <f>IFERROR(INDEX(Volcado_Dist!$A:$ZZ, MATCH($B95, Volcado_Dist!$A:$A, 0), MATCH(O$2, Volcado_Dist!$1:$1, 0)) / SUM(INDEX(Volcado_Dist!$A:$ZZ, 0, MATCH(O$2, Volcado_Dist!$1:$1, 0))), 0)</f>
        <v>1.1330168112718196E-3</v>
      </c>
      <c r="P95" s="16">
        <f>IFERROR(INDEX(Volcado_Dist!$A:$ZZ, MATCH($B95, Volcado_Dist!$A:$A, 0), MATCH(P$2, Volcado_Dist!$1:$1, 0)) / SUM(INDEX(Volcado_Dist!$A:$ZZ, 0, MATCH(P$2, Volcado_Dist!$1:$1, 0))), 0)</f>
        <v>1.2809402319861642E-2</v>
      </c>
      <c r="Q95" s="16">
        <f>IFERROR(INDEX(Volcado_Dist!$A:$ZZ, MATCH($B95, Volcado_Dist!$A:$A, 0), MATCH(Q$2, Volcado_Dist!$1:$1, 0)) / SUM(INDEX(Volcado_Dist!$A:$ZZ, 0, MATCH(Q$2, Volcado_Dist!$1:$1, 0))), 0)</f>
        <v>4.957186381115951E-3</v>
      </c>
      <c r="R95" s="16">
        <f>IFERROR(INDEX(Volcado_Dist!$A:$ZZ, MATCH($B95, Volcado_Dist!$A:$A, 0), MATCH(R$2, Volcado_Dist!$1:$1, 0)) / SUM(INDEX(Volcado_Dist!$A:$ZZ, 0, MATCH(R$2, Volcado_Dist!$1:$1, 0))), 0)</f>
        <v>0</v>
      </c>
      <c r="S95" s="16">
        <f>IFERROR(INDEX(Volcado_Dist!$A:$ZZ, MATCH($B95, Volcado_Dist!$A:$A, 0), MATCH(S$2, Volcado_Dist!$1:$1, 0)) / SUM(INDEX(Volcado_Dist!$A:$ZZ, 0, MATCH(S$2, Volcado_Dist!$1:$1, 0))), 0)</f>
        <v>4.7515638989897913E-2</v>
      </c>
      <c r="T95" s="16">
        <f>IFERROR(INDEX(Volcado_Dist!$A:$ZZ, MATCH($B95, Volcado_Dist!$A:$A, 0), MATCH(T$2, Volcado_Dist!$1:$1, 0)) / SUM(INDEX(Volcado_Dist!$A:$ZZ, 0, MATCH(T$2, Volcado_Dist!$1:$1, 0))), 0)</f>
        <v>1.3046798615333255E-2</v>
      </c>
      <c r="U95" s="16">
        <f>IFERROR(INDEX(Volcado_Dist!$A:$ZZ, MATCH($B95, Volcado_Dist!$A:$A, 0), MATCH(U$2, Volcado_Dist!$1:$1, 0)) / SUM(INDEX(Volcado_Dist!$A:$ZZ, 0, MATCH(U$2, Volcado_Dist!$1:$1, 0))), 0)</f>
        <v>3.4094623696709653E-2</v>
      </c>
      <c r="V95" s="16">
        <f>IFERROR(INDEX(Volcado_Dist!$A:$ZZ, MATCH($B95, Volcado_Dist!$A:$A, 0), MATCH(V$2, Volcado_Dist!$1:$1, 0)) / SUM(INDEX(Volcado_Dist!$A:$ZZ, 0, MATCH(V$2, Volcado_Dist!$1:$1, 0))), 0)</f>
        <v>1.4543720399415233E-2</v>
      </c>
      <c r="W95" s="16">
        <f t="shared" si="3"/>
        <v>1.3492160718836049E-2</v>
      </c>
      <c r="X95" s="17">
        <f>IFERROR(SUM(_xlfn.XLOOKUP($B95, Volcado_Vend!$A:$A, Volcado_Vend!$C:$ZZ, 0)) / SUM(Volcado_Vend!$C:$ZZ), 0)</f>
        <v>1.2682098847045215E-2</v>
      </c>
      <c r="Y95" s="24">
        <f t="shared" si="2"/>
        <v>1.3087129782940632E-2</v>
      </c>
    </row>
    <row r="96" spans="2:25" x14ac:dyDescent="0.25">
      <c r="B96" s="15" t="s">
        <v>120</v>
      </c>
      <c r="C96" s="16">
        <f>IFERROR(INDEX(Volcado_Dist!$A:$ZZ, MATCH($B96, Volcado_Dist!$A:$A, 0), MATCH(C$2, Volcado_Dist!$1:$1, 0)) / SUM(INDEX(Volcado_Dist!$A:$ZZ, 0, MATCH(C$2, Volcado_Dist!$1:$1, 0))), 0)</f>
        <v>1.365735936037432E-2</v>
      </c>
      <c r="D96" s="16">
        <f>IFERROR(INDEX(Volcado_Dist!$A:$ZZ, MATCH($B96, Volcado_Dist!$A:$A, 0), MATCH(D$2, Volcado_Dist!$1:$1, 0)) / SUM(INDEX(Volcado_Dist!$A:$ZZ, 0, MATCH(D$2, Volcado_Dist!$1:$1, 0))), 0)</f>
        <v>0</v>
      </c>
      <c r="E96" s="16">
        <f>IFERROR(INDEX(Volcado_Dist!$A:$ZZ, MATCH($B96, Volcado_Dist!$A:$A, 0), MATCH(E$2, Volcado_Dist!$1:$1, 0)) / SUM(INDEX(Volcado_Dist!$A:$ZZ, 0, MATCH(E$2, Volcado_Dist!$1:$1, 0))), 0)</f>
        <v>1.4127291087719099E-2</v>
      </c>
      <c r="F96" s="16">
        <f>IFERROR(INDEX(Volcado_Dist!$A:$ZZ, MATCH($B96, Volcado_Dist!$A:$A, 0), MATCH(F$2, Volcado_Dist!$1:$1, 0)) / SUM(INDEX(Volcado_Dist!$A:$ZZ, 0, MATCH(F$2, Volcado_Dist!$1:$1, 0))), 0)</f>
        <v>1.1897299448177729E-2</v>
      </c>
      <c r="G96" s="16">
        <f>IFERROR(INDEX(Volcado_Dist!$A:$ZZ, MATCH($B96, Volcado_Dist!$A:$A, 0), MATCH(G$2, Volcado_Dist!$1:$1, 0)) / SUM(INDEX(Volcado_Dist!$A:$ZZ, 0, MATCH(G$2, Volcado_Dist!$1:$1, 0))), 0)</f>
        <v>0</v>
      </c>
      <c r="H96" s="16">
        <f>IFERROR(INDEX(Volcado_Dist!$A:$ZZ, MATCH($B96, Volcado_Dist!$A:$A, 0), MATCH(H$2, Volcado_Dist!$1:$1, 0)) / SUM(INDEX(Volcado_Dist!$A:$ZZ, 0, MATCH(H$2, Volcado_Dist!$1:$1, 0))), 0)</f>
        <v>0</v>
      </c>
      <c r="I96" s="16">
        <f>IFERROR(INDEX(Volcado_Dist!$A:$ZZ, MATCH($B96, Volcado_Dist!$A:$A, 0), MATCH(I$2, Volcado_Dist!$1:$1, 0)) / SUM(INDEX(Volcado_Dist!$A:$ZZ, 0, MATCH(I$2, Volcado_Dist!$1:$1, 0))), 0)</f>
        <v>2.5529724711016175E-3</v>
      </c>
      <c r="J96" s="16">
        <f>IFERROR(INDEX(Volcado_Dist!$A:$ZZ, MATCH($B96, Volcado_Dist!$A:$A, 0), MATCH(J$2, Volcado_Dist!$1:$1, 0)) / SUM(INDEX(Volcado_Dist!$A:$ZZ, 0, MATCH(J$2, Volcado_Dist!$1:$1, 0))), 0)</f>
        <v>0</v>
      </c>
      <c r="K96" s="16">
        <f>IFERROR(INDEX(Volcado_Dist!$A:$ZZ, MATCH($B96, Volcado_Dist!$A:$A, 0), MATCH(K$2, Volcado_Dist!$1:$1, 0)) / SUM(INDEX(Volcado_Dist!$A:$ZZ, 0, MATCH(K$2, Volcado_Dist!$1:$1, 0))), 0)</f>
        <v>1.0535454742945285E-2</v>
      </c>
      <c r="L96" s="16">
        <f>IFERROR(INDEX(Volcado_Dist!$A:$ZZ, MATCH($B96, Volcado_Dist!$A:$A, 0), MATCH(L$2, Volcado_Dist!$1:$1, 0)) / SUM(INDEX(Volcado_Dist!$A:$ZZ, 0, MATCH(L$2, Volcado_Dist!$1:$1, 0))), 0)</f>
        <v>4.4997798103867887E-3</v>
      </c>
      <c r="M96" s="16">
        <f>IFERROR(INDEX(Volcado_Dist!$A:$ZZ, MATCH($B96, Volcado_Dist!$A:$A, 0), MATCH(M$2, Volcado_Dist!$1:$1, 0)) / SUM(INDEX(Volcado_Dist!$A:$ZZ, 0, MATCH(M$2, Volcado_Dist!$1:$1, 0))), 0)</f>
        <v>5.2492352937173114E-3</v>
      </c>
      <c r="N96" s="16">
        <f>IFERROR(INDEX(Volcado_Dist!$A:$ZZ, MATCH($B96, Volcado_Dist!$A:$A, 0), MATCH(N$2, Volcado_Dist!$1:$1, 0)) / SUM(INDEX(Volcado_Dist!$A:$ZZ, 0, MATCH(N$2, Volcado_Dist!$1:$1, 0))), 0)</f>
        <v>0</v>
      </c>
      <c r="O96" s="16">
        <f>IFERROR(INDEX(Volcado_Dist!$A:$ZZ, MATCH($B96, Volcado_Dist!$A:$A, 0), MATCH(O$2, Volcado_Dist!$1:$1, 0)) / SUM(INDEX(Volcado_Dist!$A:$ZZ, 0, MATCH(O$2, Volcado_Dist!$1:$1, 0))), 0)</f>
        <v>2.3774469423187016E-2</v>
      </c>
      <c r="P96" s="16">
        <f>IFERROR(INDEX(Volcado_Dist!$A:$ZZ, MATCH($B96, Volcado_Dist!$A:$A, 0), MATCH(P$2, Volcado_Dist!$1:$1, 0)) / SUM(INDEX(Volcado_Dist!$A:$ZZ, 0, MATCH(P$2, Volcado_Dist!$1:$1, 0))), 0)</f>
        <v>1.183382214713689E-2</v>
      </c>
      <c r="Q96" s="16">
        <f>IFERROR(INDEX(Volcado_Dist!$A:$ZZ, MATCH($B96, Volcado_Dist!$A:$A, 0), MATCH(Q$2, Volcado_Dist!$1:$1, 0)) / SUM(INDEX(Volcado_Dist!$A:$ZZ, 0, MATCH(Q$2, Volcado_Dist!$1:$1, 0))), 0)</f>
        <v>1.0271172030491342E-2</v>
      </c>
      <c r="R96" s="16">
        <f>IFERROR(INDEX(Volcado_Dist!$A:$ZZ, MATCH($B96, Volcado_Dist!$A:$A, 0), MATCH(R$2, Volcado_Dist!$1:$1, 0)) / SUM(INDEX(Volcado_Dist!$A:$ZZ, 0, MATCH(R$2, Volcado_Dist!$1:$1, 0))), 0)</f>
        <v>7.2299790612294721E-3</v>
      </c>
      <c r="S96" s="16">
        <f>IFERROR(INDEX(Volcado_Dist!$A:$ZZ, MATCH($B96, Volcado_Dist!$A:$A, 0), MATCH(S$2, Volcado_Dist!$1:$1, 0)) / SUM(INDEX(Volcado_Dist!$A:$ZZ, 0, MATCH(S$2, Volcado_Dist!$1:$1, 0))), 0)</f>
        <v>8.6221782563426861E-3</v>
      </c>
      <c r="T96" s="16">
        <f>IFERROR(INDEX(Volcado_Dist!$A:$ZZ, MATCH($B96, Volcado_Dist!$A:$A, 0), MATCH(T$2, Volcado_Dist!$1:$1, 0)) / SUM(INDEX(Volcado_Dist!$A:$ZZ, 0, MATCH(T$2, Volcado_Dist!$1:$1, 0))), 0)</f>
        <v>0</v>
      </c>
      <c r="U96" s="16">
        <f>IFERROR(INDEX(Volcado_Dist!$A:$ZZ, MATCH($B96, Volcado_Dist!$A:$A, 0), MATCH(U$2, Volcado_Dist!$1:$1, 0)) / SUM(INDEX(Volcado_Dist!$A:$ZZ, 0, MATCH(U$2, Volcado_Dist!$1:$1, 0))), 0)</f>
        <v>2.1131006980262188E-2</v>
      </c>
      <c r="V96" s="16">
        <f>IFERROR(INDEX(Volcado_Dist!$A:$ZZ, MATCH($B96, Volcado_Dist!$A:$A, 0), MATCH(V$2, Volcado_Dist!$1:$1, 0)) / SUM(INDEX(Volcado_Dist!$A:$ZZ, 0, MATCH(V$2, Volcado_Dist!$1:$1, 0))), 0)</f>
        <v>9.3151070754855635E-3</v>
      </c>
      <c r="W96" s="16">
        <f t="shared" si="3"/>
        <v>7.734856359427866E-3</v>
      </c>
      <c r="X96" s="17">
        <f>IFERROR(SUM(_xlfn.XLOOKUP($B96, Volcado_Vend!$A:$A, Volcado_Vend!$C:$ZZ, 0)) / SUM(Volcado_Vend!$C:$ZZ), 0)</f>
        <v>4.5645100492574557E-3</v>
      </c>
      <c r="Y96" s="24">
        <f t="shared" si="2"/>
        <v>6.1496832043426604E-3</v>
      </c>
    </row>
    <row r="97" spans="2:25" x14ac:dyDescent="0.25">
      <c r="B97" s="15" t="s">
        <v>121</v>
      </c>
      <c r="C97" s="16">
        <f>IFERROR(INDEX(Volcado_Dist!$A:$ZZ, MATCH($B97, Volcado_Dist!$A:$A, 0), MATCH(C$2, Volcado_Dist!$1:$1, 0)) / SUM(INDEX(Volcado_Dist!$A:$ZZ, 0, MATCH(C$2, Volcado_Dist!$1:$1, 0))), 0)</f>
        <v>0</v>
      </c>
      <c r="D97" s="16">
        <f>IFERROR(INDEX(Volcado_Dist!$A:$ZZ, MATCH($B97, Volcado_Dist!$A:$A, 0), MATCH(D$2, Volcado_Dist!$1:$1, 0)) / SUM(INDEX(Volcado_Dist!$A:$ZZ, 0, MATCH(D$2, Volcado_Dist!$1:$1, 0))), 0)</f>
        <v>0</v>
      </c>
      <c r="E97" s="16">
        <f>IFERROR(INDEX(Volcado_Dist!$A:$ZZ, MATCH($B97, Volcado_Dist!$A:$A, 0), MATCH(E$2, Volcado_Dist!$1:$1, 0)) / SUM(INDEX(Volcado_Dist!$A:$ZZ, 0, MATCH(E$2, Volcado_Dist!$1:$1, 0))), 0)</f>
        <v>-1.9818271798889384E-5</v>
      </c>
      <c r="F97" s="16">
        <f>IFERROR(INDEX(Volcado_Dist!$A:$ZZ, MATCH($B97, Volcado_Dist!$A:$A, 0), MATCH(F$2, Volcado_Dist!$1:$1, 0)) / SUM(INDEX(Volcado_Dist!$A:$ZZ, 0, MATCH(F$2, Volcado_Dist!$1:$1, 0))), 0)</f>
        <v>0</v>
      </c>
      <c r="G97" s="16">
        <f>IFERROR(INDEX(Volcado_Dist!$A:$ZZ, MATCH($B97, Volcado_Dist!$A:$A, 0), MATCH(G$2, Volcado_Dist!$1:$1, 0)) / SUM(INDEX(Volcado_Dist!$A:$ZZ, 0, MATCH(G$2, Volcado_Dist!$1:$1, 0))), 0)</f>
        <v>0</v>
      </c>
      <c r="H97" s="16">
        <f>IFERROR(INDEX(Volcado_Dist!$A:$ZZ, MATCH($B97, Volcado_Dist!$A:$A, 0), MATCH(H$2, Volcado_Dist!$1:$1, 0)) / SUM(INDEX(Volcado_Dist!$A:$ZZ, 0, MATCH(H$2, Volcado_Dist!$1:$1, 0))), 0)</f>
        <v>0</v>
      </c>
      <c r="I97" s="16">
        <f>IFERROR(INDEX(Volcado_Dist!$A:$ZZ, MATCH($B97, Volcado_Dist!$A:$A, 0), MATCH(I$2, Volcado_Dist!$1:$1, 0)) / SUM(INDEX(Volcado_Dist!$A:$ZZ, 0, MATCH(I$2, Volcado_Dist!$1:$1, 0))), 0)</f>
        <v>0</v>
      </c>
      <c r="J97" s="16">
        <f>IFERROR(INDEX(Volcado_Dist!$A:$ZZ, MATCH($B97, Volcado_Dist!$A:$A, 0), MATCH(J$2, Volcado_Dist!$1:$1, 0)) / SUM(INDEX(Volcado_Dist!$A:$ZZ, 0, MATCH(J$2, Volcado_Dist!$1:$1, 0))), 0)</f>
        <v>0</v>
      </c>
      <c r="K97" s="16">
        <f>IFERROR(INDEX(Volcado_Dist!$A:$ZZ, MATCH($B97, Volcado_Dist!$A:$A, 0), MATCH(K$2, Volcado_Dist!$1:$1, 0)) / SUM(INDEX(Volcado_Dist!$A:$ZZ, 0, MATCH(K$2, Volcado_Dist!$1:$1, 0))), 0)</f>
        <v>-2.627144491300045E-5</v>
      </c>
      <c r="L97" s="16">
        <f>IFERROR(INDEX(Volcado_Dist!$A:$ZZ, MATCH($B97, Volcado_Dist!$A:$A, 0), MATCH(L$2, Volcado_Dist!$1:$1, 0)) / SUM(INDEX(Volcado_Dist!$A:$ZZ, 0, MATCH(L$2, Volcado_Dist!$1:$1, 0))), 0)</f>
        <v>0</v>
      </c>
      <c r="M97" s="16">
        <f>IFERROR(INDEX(Volcado_Dist!$A:$ZZ, MATCH($B97, Volcado_Dist!$A:$A, 0), MATCH(M$2, Volcado_Dist!$1:$1, 0)) / SUM(INDEX(Volcado_Dist!$A:$ZZ, 0, MATCH(M$2, Volcado_Dist!$1:$1, 0))), 0)</f>
        <v>-1.3298111892693074E-3</v>
      </c>
      <c r="N97" s="16">
        <f>IFERROR(INDEX(Volcado_Dist!$A:$ZZ, MATCH($B97, Volcado_Dist!$A:$A, 0), MATCH(N$2, Volcado_Dist!$1:$1, 0)) / SUM(INDEX(Volcado_Dist!$A:$ZZ, 0, MATCH(N$2, Volcado_Dist!$1:$1, 0))), 0)</f>
        <v>0</v>
      </c>
      <c r="O97" s="16">
        <f>IFERROR(INDEX(Volcado_Dist!$A:$ZZ, MATCH($B97, Volcado_Dist!$A:$A, 0), MATCH(O$2, Volcado_Dist!$1:$1, 0)) / SUM(INDEX(Volcado_Dist!$A:$ZZ, 0, MATCH(O$2, Volcado_Dist!$1:$1, 0))), 0)</f>
        <v>0</v>
      </c>
      <c r="P97" s="16">
        <f>IFERROR(INDEX(Volcado_Dist!$A:$ZZ, MATCH($B97, Volcado_Dist!$A:$A, 0), MATCH(P$2, Volcado_Dist!$1:$1, 0)) / SUM(INDEX(Volcado_Dist!$A:$ZZ, 0, MATCH(P$2, Volcado_Dist!$1:$1, 0))), 0)</f>
        <v>-8.7728685721934446E-5</v>
      </c>
      <c r="Q97" s="16">
        <f>IFERROR(INDEX(Volcado_Dist!$A:$ZZ, MATCH($B97, Volcado_Dist!$A:$A, 0), MATCH(Q$2, Volcado_Dist!$1:$1, 0)) / SUM(INDEX(Volcado_Dist!$A:$ZZ, 0, MATCH(Q$2, Volcado_Dist!$1:$1, 0))), 0)</f>
        <v>0</v>
      </c>
      <c r="R97" s="16">
        <f>IFERROR(INDEX(Volcado_Dist!$A:$ZZ, MATCH($B97, Volcado_Dist!$A:$A, 0), MATCH(R$2, Volcado_Dist!$1:$1, 0)) / SUM(INDEX(Volcado_Dist!$A:$ZZ, 0, MATCH(R$2, Volcado_Dist!$1:$1, 0))), 0)</f>
        <v>0</v>
      </c>
      <c r="S97" s="16">
        <f>IFERROR(INDEX(Volcado_Dist!$A:$ZZ, MATCH($B97, Volcado_Dist!$A:$A, 0), MATCH(S$2, Volcado_Dist!$1:$1, 0)) / SUM(INDEX(Volcado_Dist!$A:$ZZ, 0, MATCH(S$2, Volcado_Dist!$1:$1, 0))), 0)</f>
        <v>-4.5996112733270728E-5</v>
      </c>
      <c r="T97" s="16">
        <f>IFERROR(INDEX(Volcado_Dist!$A:$ZZ, MATCH($B97, Volcado_Dist!$A:$A, 0), MATCH(T$2, Volcado_Dist!$1:$1, 0)) / SUM(INDEX(Volcado_Dist!$A:$ZZ, 0, MATCH(T$2, Volcado_Dist!$1:$1, 0))), 0)</f>
        <v>0</v>
      </c>
      <c r="U97" s="16">
        <f>IFERROR(INDEX(Volcado_Dist!$A:$ZZ, MATCH($B97, Volcado_Dist!$A:$A, 0), MATCH(U$2, Volcado_Dist!$1:$1, 0)) / SUM(INDEX(Volcado_Dist!$A:$ZZ, 0, MATCH(U$2, Volcado_Dist!$1:$1, 0))), 0)</f>
        <v>0</v>
      </c>
      <c r="V97" s="16">
        <f>IFERROR(INDEX(Volcado_Dist!$A:$ZZ, MATCH($B97, Volcado_Dist!$A:$A, 0), MATCH(V$2, Volcado_Dist!$1:$1, 0)) / SUM(INDEX(Volcado_Dist!$A:$ZZ, 0, MATCH(V$2, Volcado_Dist!$1:$1, 0))), 0)</f>
        <v>0</v>
      </c>
      <c r="W97" s="16">
        <f t="shared" si="3"/>
        <v>-7.5481285221820112E-5</v>
      </c>
      <c r="X97" s="17">
        <f>IFERROR(SUM(_xlfn.XLOOKUP($B97, Volcado_Vend!$A:$A, Volcado_Vend!$C:$ZZ, 0)) / SUM(Volcado_Vend!$C:$ZZ), 0)</f>
        <v>0</v>
      </c>
      <c r="Y97" s="24">
        <f t="shared" si="2"/>
        <v>-3.7740642610910056E-5</v>
      </c>
    </row>
    <row r="98" spans="2:25" x14ac:dyDescent="0.25">
      <c r="B98" s="15" t="s">
        <v>122</v>
      </c>
      <c r="C98" s="16">
        <f>IFERROR(INDEX(Volcado_Dist!$A:$ZZ, MATCH($B98, Volcado_Dist!$A:$A, 0), MATCH(C$2, Volcado_Dist!$1:$1, 0)) / SUM(INDEX(Volcado_Dist!$A:$ZZ, 0, MATCH(C$2, Volcado_Dist!$1:$1, 0))), 0)</f>
        <v>0</v>
      </c>
      <c r="D98" s="16">
        <f>IFERROR(INDEX(Volcado_Dist!$A:$ZZ, MATCH($B98, Volcado_Dist!$A:$A, 0), MATCH(D$2, Volcado_Dist!$1:$1, 0)) / SUM(INDEX(Volcado_Dist!$A:$ZZ, 0, MATCH(D$2, Volcado_Dist!$1:$1, 0))), 0)</f>
        <v>0</v>
      </c>
      <c r="E98" s="16">
        <f>IFERROR(INDEX(Volcado_Dist!$A:$ZZ, MATCH($B98, Volcado_Dist!$A:$A, 0), MATCH(E$2, Volcado_Dist!$1:$1, 0)) / SUM(INDEX(Volcado_Dist!$A:$ZZ, 0, MATCH(E$2, Volcado_Dist!$1:$1, 0))), 0)</f>
        <v>4.3628713456547849E-4</v>
      </c>
      <c r="F98" s="16">
        <f>IFERROR(INDEX(Volcado_Dist!$A:$ZZ, MATCH($B98, Volcado_Dist!$A:$A, 0), MATCH(F$2, Volcado_Dist!$1:$1, 0)) / SUM(INDEX(Volcado_Dist!$A:$ZZ, 0, MATCH(F$2, Volcado_Dist!$1:$1, 0))), 0)</f>
        <v>-4.5562825639678379E-5</v>
      </c>
      <c r="G98" s="16">
        <f>IFERROR(INDEX(Volcado_Dist!$A:$ZZ, MATCH($B98, Volcado_Dist!$A:$A, 0), MATCH(G$2, Volcado_Dist!$1:$1, 0)) / SUM(INDEX(Volcado_Dist!$A:$ZZ, 0, MATCH(G$2, Volcado_Dist!$1:$1, 0))), 0)</f>
        <v>0</v>
      </c>
      <c r="H98" s="16">
        <f>IFERROR(INDEX(Volcado_Dist!$A:$ZZ, MATCH($B98, Volcado_Dist!$A:$A, 0), MATCH(H$2, Volcado_Dist!$1:$1, 0)) / SUM(INDEX(Volcado_Dist!$A:$ZZ, 0, MATCH(H$2, Volcado_Dist!$1:$1, 0))), 0)</f>
        <v>0</v>
      </c>
      <c r="I98" s="16">
        <f>IFERROR(INDEX(Volcado_Dist!$A:$ZZ, MATCH($B98, Volcado_Dist!$A:$A, 0), MATCH(I$2, Volcado_Dist!$1:$1, 0)) / SUM(INDEX(Volcado_Dist!$A:$ZZ, 0, MATCH(I$2, Volcado_Dist!$1:$1, 0))), 0)</f>
        <v>2.1291010031789114E-4</v>
      </c>
      <c r="J98" s="16">
        <f>IFERROR(INDEX(Volcado_Dist!$A:$ZZ, MATCH($B98, Volcado_Dist!$A:$A, 0), MATCH(J$2, Volcado_Dist!$1:$1, 0)) / SUM(INDEX(Volcado_Dist!$A:$ZZ, 0, MATCH(J$2, Volcado_Dist!$1:$1, 0))), 0)</f>
        <v>0</v>
      </c>
      <c r="K98" s="16">
        <f>IFERROR(INDEX(Volcado_Dist!$A:$ZZ, MATCH($B98, Volcado_Dist!$A:$A, 0), MATCH(K$2, Volcado_Dist!$1:$1, 0)) / SUM(INDEX(Volcado_Dist!$A:$ZZ, 0, MATCH(K$2, Volcado_Dist!$1:$1, 0))), 0)</f>
        <v>0</v>
      </c>
      <c r="L98" s="16">
        <f>IFERROR(INDEX(Volcado_Dist!$A:$ZZ, MATCH($B98, Volcado_Dist!$A:$A, 0), MATCH(L$2, Volcado_Dist!$1:$1, 0)) / SUM(INDEX(Volcado_Dist!$A:$ZZ, 0, MATCH(L$2, Volcado_Dist!$1:$1, 0))), 0)</f>
        <v>0</v>
      </c>
      <c r="M98" s="16">
        <f>IFERROR(INDEX(Volcado_Dist!$A:$ZZ, MATCH($B98, Volcado_Dist!$A:$A, 0), MATCH(M$2, Volcado_Dist!$1:$1, 0)) / SUM(INDEX(Volcado_Dist!$A:$ZZ, 0, MATCH(M$2, Volcado_Dist!$1:$1, 0))), 0)</f>
        <v>8.0419411841187362E-3</v>
      </c>
      <c r="N98" s="16">
        <f>IFERROR(INDEX(Volcado_Dist!$A:$ZZ, MATCH($B98, Volcado_Dist!$A:$A, 0), MATCH(N$2, Volcado_Dist!$1:$1, 0)) / SUM(INDEX(Volcado_Dist!$A:$ZZ, 0, MATCH(N$2, Volcado_Dist!$1:$1, 0))), 0)</f>
        <v>0</v>
      </c>
      <c r="O98" s="16">
        <f>IFERROR(INDEX(Volcado_Dist!$A:$ZZ, MATCH($B98, Volcado_Dist!$A:$A, 0), MATCH(O$2, Volcado_Dist!$1:$1, 0)) / SUM(INDEX(Volcado_Dist!$A:$ZZ, 0, MATCH(O$2, Volcado_Dist!$1:$1, 0))), 0)</f>
        <v>0</v>
      </c>
      <c r="P98" s="16">
        <f>IFERROR(INDEX(Volcado_Dist!$A:$ZZ, MATCH($B98, Volcado_Dist!$A:$A, 0), MATCH(P$2, Volcado_Dist!$1:$1, 0)) / SUM(INDEX(Volcado_Dist!$A:$ZZ, 0, MATCH(P$2, Volcado_Dist!$1:$1, 0))), 0)</f>
        <v>0</v>
      </c>
      <c r="Q98" s="16">
        <f>IFERROR(INDEX(Volcado_Dist!$A:$ZZ, MATCH($B98, Volcado_Dist!$A:$A, 0), MATCH(Q$2, Volcado_Dist!$1:$1, 0)) / SUM(INDEX(Volcado_Dist!$A:$ZZ, 0, MATCH(Q$2, Volcado_Dist!$1:$1, 0))), 0)</f>
        <v>0</v>
      </c>
      <c r="R98" s="16">
        <f>IFERROR(INDEX(Volcado_Dist!$A:$ZZ, MATCH($B98, Volcado_Dist!$A:$A, 0), MATCH(R$2, Volcado_Dist!$1:$1, 0)) / SUM(INDEX(Volcado_Dist!$A:$ZZ, 0, MATCH(R$2, Volcado_Dist!$1:$1, 0))), 0)</f>
        <v>0</v>
      </c>
      <c r="S98" s="16">
        <f>IFERROR(INDEX(Volcado_Dist!$A:$ZZ, MATCH($B98, Volcado_Dist!$A:$A, 0), MATCH(S$2, Volcado_Dist!$1:$1, 0)) / SUM(INDEX(Volcado_Dist!$A:$ZZ, 0, MATCH(S$2, Volcado_Dist!$1:$1, 0))), 0)</f>
        <v>0</v>
      </c>
      <c r="T98" s="16">
        <f>IFERROR(INDEX(Volcado_Dist!$A:$ZZ, MATCH($B98, Volcado_Dist!$A:$A, 0), MATCH(T$2, Volcado_Dist!$1:$1, 0)) / SUM(INDEX(Volcado_Dist!$A:$ZZ, 0, MATCH(T$2, Volcado_Dist!$1:$1, 0))), 0)</f>
        <v>0</v>
      </c>
      <c r="U98" s="16">
        <f>IFERROR(INDEX(Volcado_Dist!$A:$ZZ, MATCH($B98, Volcado_Dist!$A:$A, 0), MATCH(U$2, Volcado_Dist!$1:$1, 0)) / SUM(INDEX(Volcado_Dist!$A:$ZZ, 0, MATCH(U$2, Volcado_Dist!$1:$1, 0))), 0)</f>
        <v>0</v>
      </c>
      <c r="V98" s="16">
        <f>IFERROR(INDEX(Volcado_Dist!$A:$ZZ, MATCH($B98, Volcado_Dist!$A:$A, 0), MATCH(V$2, Volcado_Dist!$1:$1, 0)) / SUM(INDEX(Volcado_Dist!$A:$ZZ, 0, MATCH(V$2, Volcado_Dist!$1:$1, 0))), 0)</f>
        <v>0</v>
      </c>
      <c r="W98" s="16">
        <f t="shared" si="3"/>
        <v>4.3227877966812138E-4</v>
      </c>
      <c r="X98" s="17">
        <f>IFERROR(SUM(_xlfn.XLOOKUP($B98, Volcado_Vend!$A:$A, Volcado_Vend!$C:$ZZ, 0)) / SUM(Volcado_Vend!$C:$ZZ), 0)</f>
        <v>1.7923468779806762E-4</v>
      </c>
      <c r="Y98" s="24">
        <f t="shared" si="2"/>
        <v>3.0575673373309448E-4</v>
      </c>
    </row>
    <row r="99" spans="2:25" x14ac:dyDescent="0.25">
      <c r="B99" s="15" t="s">
        <v>123</v>
      </c>
      <c r="C99" s="16">
        <f>IFERROR(INDEX(Volcado_Dist!$A:$ZZ, MATCH($B99, Volcado_Dist!$A:$A, 0), MATCH(C$2, Volcado_Dist!$1:$1, 0)) / SUM(INDEX(Volcado_Dist!$A:$ZZ, 0, MATCH(C$2, Volcado_Dist!$1:$1, 0))), 0)</f>
        <v>0</v>
      </c>
      <c r="D99" s="16">
        <f>IFERROR(INDEX(Volcado_Dist!$A:$ZZ, MATCH($B99, Volcado_Dist!$A:$A, 0), MATCH(D$2, Volcado_Dist!$1:$1, 0)) / SUM(INDEX(Volcado_Dist!$A:$ZZ, 0, MATCH(D$2, Volcado_Dist!$1:$1, 0))), 0)</f>
        <v>0</v>
      </c>
      <c r="E99" s="16">
        <f>IFERROR(INDEX(Volcado_Dist!$A:$ZZ, MATCH($B99, Volcado_Dist!$A:$A, 0), MATCH(E$2, Volcado_Dist!$1:$1, 0)) / SUM(INDEX(Volcado_Dist!$A:$ZZ, 0, MATCH(E$2, Volcado_Dist!$1:$1, 0))), 0)</f>
        <v>0</v>
      </c>
      <c r="F99" s="16">
        <f>IFERROR(INDEX(Volcado_Dist!$A:$ZZ, MATCH($B99, Volcado_Dist!$A:$A, 0), MATCH(F$2, Volcado_Dist!$1:$1, 0)) / SUM(INDEX(Volcado_Dist!$A:$ZZ, 0, MATCH(F$2, Volcado_Dist!$1:$1, 0))), 0)</f>
        <v>0</v>
      </c>
      <c r="G99" s="16">
        <f>IFERROR(INDEX(Volcado_Dist!$A:$ZZ, MATCH($B99, Volcado_Dist!$A:$A, 0), MATCH(G$2, Volcado_Dist!$1:$1, 0)) / SUM(INDEX(Volcado_Dist!$A:$ZZ, 0, MATCH(G$2, Volcado_Dist!$1:$1, 0))), 0)</f>
        <v>0</v>
      </c>
      <c r="H99" s="16">
        <f>IFERROR(INDEX(Volcado_Dist!$A:$ZZ, MATCH($B99, Volcado_Dist!$A:$A, 0), MATCH(H$2, Volcado_Dist!$1:$1, 0)) / SUM(INDEX(Volcado_Dist!$A:$ZZ, 0, MATCH(H$2, Volcado_Dist!$1:$1, 0))), 0)</f>
        <v>0</v>
      </c>
      <c r="I99" s="16">
        <f>IFERROR(INDEX(Volcado_Dist!$A:$ZZ, MATCH($B99, Volcado_Dist!$A:$A, 0), MATCH(I$2, Volcado_Dist!$1:$1, 0)) / SUM(INDEX(Volcado_Dist!$A:$ZZ, 0, MATCH(I$2, Volcado_Dist!$1:$1, 0))), 0)</f>
        <v>2.2550410780906563E-5</v>
      </c>
      <c r="J99" s="16">
        <f>IFERROR(INDEX(Volcado_Dist!$A:$ZZ, MATCH($B99, Volcado_Dist!$A:$A, 0), MATCH(J$2, Volcado_Dist!$1:$1, 0)) / SUM(INDEX(Volcado_Dist!$A:$ZZ, 0, MATCH(J$2, Volcado_Dist!$1:$1, 0))), 0)</f>
        <v>0</v>
      </c>
      <c r="K99" s="16">
        <f>IFERROR(INDEX(Volcado_Dist!$A:$ZZ, MATCH($B99, Volcado_Dist!$A:$A, 0), MATCH(K$2, Volcado_Dist!$1:$1, 0)) / SUM(INDEX(Volcado_Dist!$A:$ZZ, 0, MATCH(K$2, Volcado_Dist!$1:$1, 0))), 0)</f>
        <v>0</v>
      </c>
      <c r="L99" s="16">
        <f>IFERROR(INDEX(Volcado_Dist!$A:$ZZ, MATCH($B99, Volcado_Dist!$A:$A, 0), MATCH(L$2, Volcado_Dist!$1:$1, 0)) / SUM(INDEX(Volcado_Dist!$A:$ZZ, 0, MATCH(L$2, Volcado_Dist!$1:$1, 0))), 0)</f>
        <v>0</v>
      </c>
      <c r="M99" s="16">
        <f>IFERROR(INDEX(Volcado_Dist!$A:$ZZ, MATCH($B99, Volcado_Dist!$A:$A, 0), MATCH(M$2, Volcado_Dist!$1:$1, 0)) / SUM(INDEX(Volcado_Dist!$A:$ZZ, 0, MATCH(M$2, Volcado_Dist!$1:$1, 0))), 0)</f>
        <v>0</v>
      </c>
      <c r="N99" s="16">
        <f>IFERROR(INDEX(Volcado_Dist!$A:$ZZ, MATCH($B99, Volcado_Dist!$A:$A, 0), MATCH(N$2, Volcado_Dist!$1:$1, 0)) / SUM(INDEX(Volcado_Dist!$A:$ZZ, 0, MATCH(N$2, Volcado_Dist!$1:$1, 0))), 0)</f>
        <v>0</v>
      </c>
      <c r="O99" s="16">
        <f>IFERROR(INDEX(Volcado_Dist!$A:$ZZ, MATCH($B99, Volcado_Dist!$A:$A, 0), MATCH(O$2, Volcado_Dist!$1:$1, 0)) / SUM(INDEX(Volcado_Dist!$A:$ZZ, 0, MATCH(O$2, Volcado_Dist!$1:$1, 0))), 0)</f>
        <v>0</v>
      </c>
      <c r="P99" s="16">
        <f>IFERROR(INDEX(Volcado_Dist!$A:$ZZ, MATCH($B99, Volcado_Dist!$A:$A, 0), MATCH(P$2, Volcado_Dist!$1:$1, 0)) / SUM(INDEX(Volcado_Dist!$A:$ZZ, 0, MATCH(P$2, Volcado_Dist!$1:$1, 0))), 0)</f>
        <v>0</v>
      </c>
      <c r="Q99" s="16">
        <f>IFERROR(INDEX(Volcado_Dist!$A:$ZZ, MATCH($B99, Volcado_Dist!$A:$A, 0), MATCH(Q$2, Volcado_Dist!$1:$1, 0)) / SUM(INDEX(Volcado_Dist!$A:$ZZ, 0, MATCH(Q$2, Volcado_Dist!$1:$1, 0))), 0)</f>
        <v>0</v>
      </c>
      <c r="R99" s="16">
        <f>IFERROR(INDEX(Volcado_Dist!$A:$ZZ, MATCH($B99, Volcado_Dist!$A:$A, 0), MATCH(R$2, Volcado_Dist!$1:$1, 0)) / SUM(INDEX(Volcado_Dist!$A:$ZZ, 0, MATCH(R$2, Volcado_Dist!$1:$1, 0))), 0)</f>
        <v>0</v>
      </c>
      <c r="S99" s="16">
        <f>IFERROR(INDEX(Volcado_Dist!$A:$ZZ, MATCH($B99, Volcado_Dist!$A:$A, 0), MATCH(S$2, Volcado_Dist!$1:$1, 0)) / SUM(INDEX(Volcado_Dist!$A:$ZZ, 0, MATCH(S$2, Volcado_Dist!$1:$1, 0))), 0)</f>
        <v>0</v>
      </c>
      <c r="T99" s="16">
        <f>IFERROR(INDEX(Volcado_Dist!$A:$ZZ, MATCH($B99, Volcado_Dist!$A:$A, 0), MATCH(T$2, Volcado_Dist!$1:$1, 0)) / SUM(INDEX(Volcado_Dist!$A:$ZZ, 0, MATCH(T$2, Volcado_Dist!$1:$1, 0))), 0)</f>
        <v>0</v>
      </c>
      <c r="U99" s="16">
        <f>IFERROR(INDEX(Volcado_Dist!$A:$ZZ, MATCH($B99, Volcado_Dist!$A:$A, 0), MATCH(U$2, Volcado_Dist!$1:$1, 0)) / SUM(INDEX(Volcado_Dist!$A:$ZZ, 0, MATCH(U$2, Volcado_Dist!$1:$1, 0))), 0)</f>
        <v>0</v>
      </c>
      <c r="V99" s="16">
        <f>IFERROR(INDEX(Volcado_Dist!$A:$ZZ, MATCH($B99, Volcado_Dist!$A:$A, 0), MATCH(V$2, Volcado_Dist!$1:$1, 0)) / SUM(INDEX(Volcado_Dist!$A:$ZZ, 0, MATCH(V$2, Volcado_Dist!$1:$1, 0))), 0)</f>
        <v>0</v>
      </c>
      <c r="W99" s="16">
        <f t="shared" si="3"/>
        <v>1.1275205390453282E-6</v>
      </c>
      <c r="X99" s="17">
        <f>IFERROR(SUM(_xlfn.XLOOKUP($B99, Volcado_Vend!$A:$A, Volcado_Vend!$C:$ZZ, 0)) / SUM(Volcado_Vend!$C:$ZZ), 0)</f>
        <v>0</v>
      </c>
      <c r="Y99" s="24">
        <f t="shared" si="2"/>
        <v>5.637602695226641E-7</v>
      </c>
    </row>
    <row r="100" spans="2:25" x14ac:dyDescent="0.25">
      <c r="B100" s="15" t="s">
        <v>124</v>
      </c>
      <c r="C100" s="16">
        <f>IFERROR(INDEX(Volcado_Dist!$A:$ZZ, MATCH($B100, Volcado_Dist!$A:$A, 0), MATCH(C$2, Volcado_Dist!$1:$1, 0)) / SUM(INDEX(Volcado_Dist!$A:$ZZ, 0, MATCH(C$2, Volcado_Dist!$1:$1, 0))), 0)</f>
        <v>2.4051140970744725E-4</v>
      </c>
      <c r="D100" s="16">
        <f>IFERROR(INDEX(Volcado_Dist!$A:$ZZ, MATCH($B100, Volcado_Dist!$A:$A, 0), MATCH(D$2, Volcado_Dist!$1:$1, 0)) / SUM(INDEX(Volcado_Dist!$A:$ZZ, 0, MATCH(D$2, Volcado_Dist!$1:$1, 0))), 0)</f>
        <v>0</v>
      </c>
      <c r="E100" s="16">
        <f>IFERROR(INDEX(Volcado_Dist!$A:$ZZ, MATCH($B100, Volcado_Dist!$A:$A, 0), MATCH(E$2, Volcado_Dist!$1:$1, 0)) / SUM(INDEX(Volcado_Dist!$A:$ZZ, 0, MATCH(E$2, Volcado_Dist!$1:$1, 0))), 0)</f>
        <v>4.9586971421087362E-4</v>
      </c>
      <c r="F100" s="16">
        <f>IFERROR(INDEX(Volcado_Dist!$A:$ZZ, MATCH($B100, Volcado_Dist!$A:$A, 0), MATCH(F$2, Volcado_Dist!$1:$1, 0)) / SUM(INDEX(Volcado_Dist!$A:$ZZ, 0, MATCH(F$2, Volcado_Dist!$1:$1, 0))), 0)</f>
        <v>4.490349604917173E-3</v>
      </c>
      <c r="G100" s="16">
        <f>IFERROR(INDEX(Volcado_Dist!$A:$ZZ, MATCH($B100, Volcado_Dist!$A:$A, 0), MATCH(G$2, Volcado_Dist!$1:$1, 0)) / SUM(INDEX(Volcado_Dist!$A:$ZZ, 0, MATCH(G$2, Volcado_Dist!$1:$1, 0))), 0)</f>
        <v>0</v>
      </c>
      <c r="H100" s="16">
        <f>IFERROR(INDEX(Volcado_Dist!$A:$ZZ, MATCH($B100, Volcado_Dist!$A:$A, 0), MATCH(H$2, Volcado_Dist!$1:$1, 0)) / SUM(INDEX(Volcado_Dist!$A:$ZZ, 0, MATCH(H$2, Volcado_Dist!$1:$1, 0))), 0)</f>
        <v>0</v>
      </c>
      <c r="I100" s="16">
        <f>IFERROR(INDEX(Volcado_Dist!$A:$ZZ, MATCH($B100, Volcado_Dist!$A:$A, 0), MATCH(I$2, Volcado_Dist!$1:$1, 0)) / SUM(INDEX(Volcado_Dist!$A:$ZZ, 0, MATCH(I$2, Volcado_Dist!$1:$1, 0))), 0)</f>
        <v>2.0336490173344677E-4</v>
      </c>
      <c r="J100" s="16">
        <f>IFERROR(INDEX(Volcado_Dist!$A:$ZZ, MATCH($B100, Volcado_Dist!$A:$A, 0), MATCH(J$2, Volcado_Dist!$1:$1, 0)) / SUM(INDEX(Volcado_Dist!$A:$ZZ, 0, MATCH(J$2, Volcado_Dist!$1:$1, 0))), 0)</f>
        <v>0</v>
      </c>
      <c r="K100" s="16">
        <f>IFERROR(INDEX(Volcado_Dist!$A:$ZZ, MATCH($B100, Volcado_Dist!$A:$A, 0), MATCH(K$2, Volcado_Dist!$1:$1, 0)) / SUM(INDEX(Volcado_Dist!$A:$ZZ, 0, MATCH(K$2, Volcado_Dist!$1:$1, 0))), 0)</f>
        <v>1.3225826641631102E-3</v>
      </c>
      <c r="L100" s="16">
        <f>IFERROR(INDEX(Volcado_Dist!$A:$ZZ, MATCH($B100, Volcado_Dist!$A:$A, 0), MATCH(L$2, Volcado_Dist!$1:$1, 0)) / SUM(INDEX(Volcado_Dist!$A:$ZZ, 0, MATCH(L$2, Volcado_Dist!$1:$1, 0))), 0)</f>
        <v>4.940934693758042E-4</v>
      </c>
      <c r="M100" s="16">
        <f>IFERROR(INDEX(Volcado_Dist!$A:$ZZ, MATCH($B100, Volcado_Dist!$A:$A, 0), MATCH(M$2, Volcado_Dist!$1:$1, 0)) / SUM(INDEX(Volcado_Dist!$A:$ZZ, 0, MATCH(M$2, Volcado_Dist!$1:$1, 0))), 0)</f>
        <v>5.7103038577951612E-3</v>
      </c>
      <c r="N100" s="16">
        <f>IFERROR(INDEX(Volcado_Dist!$A:$ZZ, MATCH($B100, Volcado_Dist!$A:$A, 0), MATCH(N$2, Volcado_Dist!$1:$1, 0)) / SUM(INDEX(Volcado_Dist!$A:$ZZ, 0, MATCH(N$2, Volcado_Dist!$1:$1, 0))), 0)</f>
        <v>0</v>
      </c>
      <c r="O100" s="16">
        <f>IFERROR(INDEX(Volcado_Dist!$A:$ZZ, MATCH($B100, Volcado_Dist!$A:$A, 0), MATCH(O$2, Volcado_Dist!$1:$1, 0)) / SUM(INDEX(Volcado_Dist!$A:$ZZ, 0, MATCH(O$2, Volcado_Dist!$1:$1, 0))), 0)</f>
        <v>0</v>
      </c>
      <c r="P100" s="16">
        <f>IFERROR(INDEX(Volcado_Dist!$A:$ZZ, MATCH($B100, Volcado_Dist!$A:$A, 0), MATCH(P$2, Volcado_Dist!$1:$1, 0)) / SUM(INDEX(Volcado_Dist!$A:$ZZ, 0, MATCH(P$2, Volcado_Dist!$1:$1, 0))), 0)</f>
        <v>1.0004106199934929E-3</v>
      </c>
      <c r="Q100" s="16">
        <f>IFERROR(INDEX(Volcado_Dist!$A:$ZZ, MATCH($B100, Volcado_Dist!$A:$A, 0), MATCH(Q$2, Volcado_Dist!$1:$1, 0)) / SUM(INDEX(Volcado_Dist!$A:$ZZ, 0, MATCH(Q$2, Volcado_Dist!$1:$1, 0))), 0)</f>
        <v>7.2329070748169714E-3</v>
      </c>
      <c r="R100" s="16">
        <f>IFERROR(INDEX(Volcado_Dist!$A:$ZZ, MATCH($B100, Volcado_Dist!$A:$A, 0), MATCH(R$2, Volcado_Dist!$1:$1, 0)) / SUM(INDEX(Volcado_Dist!$A:$ZZ, 0, MATCH(R$2, Volcado_Dist!$1:$1, 0))), 0)</f>
        <v>0</v>
      </c>
      <c r="S100" s="16">
        <f>IFERROR(INDEX(Volcado_Dist!$A:$ZZ, MATCH($B100, Volcado_Dist!$A:$A, 0), MATCH(S$2, Volcado_Dist!$1:$1, 0)) / SUM(INDEX(Volcado_Dist!$A:$ZZ, 0, MATCH(S$2, Volcado_Dist!$1:$1, 0))), 0)</f>
        <v>3.2892184213576337E-3</v>
      </c>
      <c r="T100" s="16">
        <f>IFERROR(INDEX(Volcado_Dist!$A:$ZZ, MATCH($B100, Volcado_Dist!$A:$A, 0), MATCH(T$2, Volcado_Dist!$1:$1, 0)) / SUM(INDEX(Volcado_Dist!$A:$ZZ, 0, MATCH(T$2, Volcado_Dist!$1:$1, 0))), 0)</f>
        <v>1.6272823631899576E-3</v>
      </c>
      <c r="U100" s="16">
        <f>IFERROR(INDEX(Volcado_Dist!$A:$ZZ, MATCH($B100, Volcado_Dist!$A:$A, 0), MATCH(U$2, Volcado_Dist!$1:$1, 0)) / SUM(INDEX(Volcado_Dist!$A:$ZZ, 0, MATCH(U$2, Volcado_Dist!$1:$1, 0))), 0)</f>
        <v>0</v>
      </c>
      <c r="V100" s="16">
        <f>IFERROR(INDEX(Volcado_Dist!$A:$ZZ, MATCH($B100, Volcado_Dist!$A:$A, 0), MATCH(V$2, Volcado_Dist!$1:$1, 0)) / SUM(INDEX(Volcado_Dist!$A:$ZZ, 0, MATCH(V$2, Volcado_Dist!$1:$1, 0))), 0)</f>
        <v>1.9698326667396474E-3</v>
      </c>
      <c r="W100" s="16">
        <f t="shared" si="3"/>
        <v>1.403836338400036E-3</v>
      </c>
      <c r="X100" s="17">
        <f>IFERROR(SUM(_xlfn.XLOOKUP($B100, Volcado_Vend!$A:$A, Volcado_Vend!$C:$ZZ, 0)) / SUM(Volcado_Vend!$C:$ZZ), 0)</f>
        <v>7.9615605765116933E-4</v>
      </c>
      <c r="Y100" s="24">
        <f t="shared" si="2"/>
        <v>1.0999961980256026E-3</v>
      </c>
    </row>
    <row r="101" spans="2:25" x14ac:dyDescent="0.25">
      <c r="B101" s="15" t="s">
        <v>125</v>
      </c>
      <c r="C101" s="16">
        <f>IFERROR(INDEX(Volcado_Dist!$A:$ZZ, MATCH($B101, Volcado_Dist!$A:$A, 0), MATCH(C$2, Volcado_Dist!$1:$1, 0)) / SUM(INDEX(Volcado_Dist!$A:$ZZ, 0, MATCH(C$2, Volcado_Dist!$1:$1, 0))), 0)</f>
        <v>-1.5341563449394459E-4</v>
      </c>
      <c r="D101" s="16">
        <f>IFERROR(INDEX(Volcado_Dist!$A:$ZZ, MATCH($B101, Volcado_Dist!$A:$A, 0), MATCH(D$2, Volcado_Dist!$1:$1, 0)) / SUM(INDEX(Volcado_Dist!$A:$ZZ, 0, MATCH(D$2, Volcado_Dist!$1:$1, 0))), 0)</f>
        <v>0</v>
      </c>
      <c r="E101" s="16">
        <f>IFERROR(INDEX(Volcado_Dist!$A:$ZZ, MATCH($B101, Volcado_Dist!$A:$A, 0), MATCH(E$2, Volcado_Dist!$1:$1, 0)) / SUM(INDEX(Volcado_Dist!$A:$ZZ, 0, MATCH(E$2, Volcado_Dist!$1:$1, 0))), 0)</f>
        <v>0</v>
      </c>
      <c r="F101" s="16">
        <f>IFERROR(INDEX(Volcado_Dist!$A:$ZZ, MATCH($B101, Volcado_Dist!$A:$A, 0), MATCH(F$2, Volcado_Dist!$1:$1, 0)) / SUM(INDEX(Volcado_Dist!$A:$ZZ, 0, MATCH(F$2, Volcado_Dist!$1:$1, 0))), 0)</f>
        <v>3.5501034977582734E-4</v>
      </c>
      <c r="G101" s="16">
        <f>IFERROR(INDEX(Volcado_Dist!$A:$ZZ, MATCH($B101, Volcado_Dist!$A:$A, 0), MATCH(G$2, Volcado_Dist!$1:$1, 0)) / SUM(INDEX(Volcado_Dist!$A:$ZZ, 0, MATCH(G$2, Volcado_Dist!$1:$1, 0))), 0)</f>
        <v>0</v>
      </c>
      <c r="H101" s="16">
        <f>IFERROR(INDEX(Volcado_Dist!$A:$ZZ, MATCH($B101, Volcado_Dist!$A:$A, 0), MATCH(H$2, Volcado_Dist!$1:$1, 0)) / SUM(INDEX(Volcado_Dist!$A:$ZZ, 0, MATCH(H$2, Volcado_Dist!$1:$1, 0))), 0)</f>
        <v>0</v>
      </c>
      <c r="I101" s="16">
        <f>IFERROR(INDEX(Volcado_Dist!$A:$ZZ, MATCH($B101, Volcado_Dist!$A:$A, 0), MATCH(I$2, Volcado_Dist!$1:$1, 0)) / SUM(INDEX(Volcado_Dist!$A:$ZZ, 0, MATCH(I$2, Volcado_Dist!$1:$1, 0))), 0)</f>
        <v>-1.3382341707806573E-5</v>
      </c>
      <c r="J101" s="16">
        <f>IFERROR(INDEX(Volcado_Dist!$A:$ZZ, MATCH($B101, Volcado_Dist!$A:$A, 0), MATCH(J$2, Volcado_Dist!$1:$1, 0)) / SUM(INDEX(Volcado_Dist!$A:$ZZ, 0, MATCH(J$2, Volcado_Dist!$1:$1, 0))), 0)</f>
        <v>0</v>
      </c>
      <c r="K101" s="16">
        <f>IFERROR(INDEX(Volcado_Dist!$A:$ZZ, MATCH($B101, Volcado_Dist!$A:$A, 0), MATCH(K$2, Volcado_Dist!$1:$1, 0)) / SUM(INDEX(Volcado_Dist!$A:$ZZ, 0, MATCH(K$2, Volcado_Dist!$1:$1, 0))), 0)</f>
        <v>3.7242497161922576E-3</v>
      </c>
      <c r="L101" s="16">
        <f>IFERROR(INDEX(Volcado_Dist!$A:$ZZ, MATCH($B101, Volcado_Dist!$A:$A, 0), MATCH(L$2, Volcado_Dist!$1:$1, 0)) / SUM(INDEX(Volcado_Dist!$A:$ZZ, 0, MATCH(L$2, Volcado_Dist!$1:$1, 0))), 0)</f>
        <v>0</v>
      </c>
      <c r="M101" s="16">
        <f>IFERROR(INDEX(Volcado_Dist!$A:$ZZ, MATCH($B101, Volcado_Dist!$A:$A, 0), MATCH(M$2, Volcado_Dist!$1:$1, 0)) / SUM(INDEX(Volcado_Dist!$A:$ZZ, 0, MATCH(M$2, Volcado_Dist!$1:$1, 0))), 0)</f>
        <v>0</v>
      </c>
      <c r="N101" s="16">
        <f>IFERROR(INDEX(Volcado_Dist!$A:$ZZ, MATCH($B101, Volcado_Dist!$A:$A, 0), MATCH(N$2, Volcado_Dist!$1:$1, 0)) / SUM(INDEX(Volcado_Dist!$A:$ZZ, 0, MATCH(N$2, Volcado_Dist!$1:$1, 0))), 0)</f>
        <v>0</v>
      </c>
      <c r="O101" s="16">
        <f>IFERROR(INDEX(Volcado_Dist!$A:$ZZ, MATCH($B101, Volcado_Dist!$A:$A, 0), MATCH(O$2, Volcado_Dist!$1:$1, 0)) / SUM(INDEX(Volcado_Dist!$A:$ZZ, 0, MATCH(O$2, Volcado_Dist!$1:$1, 0))), 0)</f>
        <v>0</v>
      </c>
      <c r="P101" s="16">
        <f>IFERROR(INDEX(Volcado_Dist!$A:$ZZ, MATCH($B101, Volcado_Dist!$A:$A, 0), MATCH(P$2, Volcado_Dist!$1:$1, 0)) / SUM(INDEX(Volcado_Dist!$A:$ZZ, 0, MATCH(P$2, Volcado_Dist!$1:$1, 0))), 0)</f>
        <v>2.1643123159607873E-3</v>
      </c>
      <c r="Q101" s="16">
        <f>IFERROR(INDEX(Volcado_Dist!$A:$ZZ, MATCH($B101, Volcado_Dist!$A:$A, 0), MATCH(Q$2, Volcado_Dist!$1:$1, 0)) / SUM(INDEX(Volcado_Dist!$A:$ZZ, 0, MATCH(Q$2, Volcado_Dist!$1:$1, 0))), 0)</f>
        <v>-3.5844127613077633E-3</v>
      </c>
      <c r="R101" s="16">
        <f>IFERROR(INDEX(Volcado_Dist!$A:$ZZ, MATCH($B101, Volcado_Dist!$A:$A, 0), MATCH(R$2, Volcado_Dist!$1:$1, 0)) / SUM(INDEX(Volcado_Dist!$A:$ZZ, 0, MATCH(R$2, Volcado_Dist!$1:$1, 0))), 0)</f>
        <v>0</v>
      </c>
      <c r="S101" s="16">
        <f>IFERROR(INDEX(Volcado_Dist!$A:$ZZ, MATCH($B101, Volcado_Dist!$A:$A, 0), MATCH(S$2, Volcado_Dist!$1:$1, 0)) / SUM(INDEX(Volcado_Dist!$A:$ZZ, 0, MATCH(S$2, Volcado_Dist!$1:$1, 0))), 0)</f>
        <v>1.3296682013702525E-3</v>
      </c>
      <c r="T101" s="16">
        <f>IFERROR(INDEX(Volcado_Dist!$A:$ZZ, MATCH($B101, Volcado_Dist!$A:$A, 0), MATCH(T$2, Volcado_Dist!$1:$1, 0)) / SUM(INDEX(Volcado_Dist!$A:$ZZ, 0, MATCH(T$2, Volcado_Dist!$1:$1, 0))), 0)</f>
        <v>7.3857309638829897E-5</v>
      </c>
      <c r="U101" s="16">
        <f>IFERROR(INDEX(Volcado_Dist!$A:$ZZ, MATCH($B101, Volcado_Dist!$A:$A, 0), MATCH(U$2, Volcado_Dist!$1:$1, 0)) / SUM(INDEX(Volcado_Dist!$A:$ZZ, 0, MATCH(U$2, Volcado_Dist!$1:$1, 0))), 0)</f>
        <v>3.9901753960621539E-3</v>
      </c>
      <c r="V101" s="16">
        <f>IFERROR(INDEX(Volcado_Dist!$A:$ZZ, MATCH($B101, Volcado_Dist!$A:$A, 0), MATCH(V$2, Volcado_Dist!$1:$1, 0)) / SUM(INDEX(Volcado_Dist!$A:$ZZ, 0, MATCH(V$2, Volcado_Dist!$1:$1, 0))), 0)</f>
        <v>2.6719610239753977E-3</v>
      </c>
      <c r="W101" s="16">
        <f t="shared" si="3"/>
        <v>5.2790117877329955E-4</v>
      </c>
      <c r="X101" s="17">
        <f>IFERROR(SUM(_xlfn.XLOOKUP($B101, Volcado_Vend!$A:$A, Volcado_Vend!$C:$ZZ, 0)) / SUM(Volcado_Vend!$C:$ZZ), 0)</f>
        <v>6.8792375312125601E-4</v>
      </c>
      <c r="Y101" s="24">
        <f t="shared" si="2"/>
        <v>6.0791246594727778E-4</v>
      </c>
    </row>
    <row r="102" spans="2:25" x14ac:dyDescent="0.25">
      <c r="B102" s="15" t="s">
        <v>126</v>
      </c>
      <c r="C102" s="16">
        <f>IFERROR(INDEX(Volcado_Dist!$A:$ZZ, MATCH($B102, Volcado_Dist!$A:$A, 0), MATCH(C$2, Volcado_Dist!$1:$1, 0)) / SUM(INDEX(Volcado_Dist!$A:$ZZ, 0, MATCH(C$2, Volcado_Dist!$1:$1, 0))), 0)</f>
        <v>8.1703085856931115E-3</v>
      </c>
      <c r="D102" s="16">
        <f>IFERROR(INDEX(Volcado_Dist!$A:$ZZ, MATCH($B102, Volcado_Dist!$A:$A, 0), MATCH(D$2, Volcado_Dist!$1:$1, 0)) / SUM(INDEX(Volcado_Dist!$A:$ZZ, 0, MATCH(D$2, Volcado_Dist!$1:$1, 0))), 0)</f>
        <v>0</v>
      </c>
      <c r="E102" s="16">
        <f>IFERROR(INDEX(Volcado_Dist!$A:$ZZ, MATCH($B102, Volcado_Dist!$A:$A, 0), MATCH(E$2, Volcado_Dist!$1:$1, 0)) / SUM(INDEX(Volcado_Dist!$A:$ZZ, 0, MATCH(E$2, Volcado_Dist!$1:$1, 0))), 0)</f>
        <v>1.4263595172897074E-2</v>
      </c>
      <c r="F102" s="16">
        <f>IFERROR(INDEX(Volcado_Dist!$A:$ZZ, MATCH($B102, Volcado_Dist!$A:$A, 0), MATCH(F$2, Volcado_Dist!$1:$1, 0)) / SUM(INDEX(Volcado_Dist!$A:$ZZ, 0, MATCH(F$2, Volcado_Dist!$1:$1, 0))), 0)</f>
        <v>2.3115122302076345E-2</v>
      </c>
      <c r="G102" s="16">
        <f>IFERROR(INDEX(Volcado_Dist!$A:$ZZ, MATCH($B102, Volcado_Dist!$A:$A, 0), MATCH(G$2, Volcado_Dist!$1:$1, 0)) / SUM(INDEX(Volcado_Dist!$A:$ZZ, 0, MATCH(G$2, Volcado_Dist!$1:$1, 0))), 0)</f>
        <v>0</v>
      </c>
      <c r="H102" s="16">
        <f>IFERROR(INDEX(Volcado_Dist!$A:$ZZ, MATCH($B102, Volcado_Dist!$A:$A, 0), MATCH(H$2, Volcado_Dist!$1:$1, 0)) / SUM(INDEX(Volcado_Dist!$A:$ZZ, 0, MATCH(H$2, Volcado_Dist!$1:$1, 0))), 0)</f>
        <v>1.660417768521831E-2</v>
      </c>
      <c r="I102" s="16">
        <f>IFERROR(INDEX(Volcado_Dist!$A:$ZZ, MATCH($B102, Volcado_Dist!$A:$A, 0), MATCH(I$2, Volcado_Dist!$1:$1, 0)) / SUM(INDEX(Volcado_Dist!$A:$ZZ, 0, MATCH(I$2, Volcado_Dist!$1:$1, 0))), 0)</f>
        <v>2.1185408703381103E-2</v>
      </c>
      <c r="J102" s="16">
        <f>IFERROR(INDEX(Volcado_Dist!$A:$ZZ, MATCH($B102, Volcado_Dist!$A:$A, 0), MATCH(J$2, Volcado_Dist!$1:$1, 0)) / SUM(INDEX(Volcado_Dist!$A:$ZZ, 0, MATCH(J$2, Volcado_Dist!$1:$1, 0))), 0)</f>
        <v>0</v>
      </c>
      <c r="K102" s="16">
        <f>IFERROR(INDEX(Volcado_Dist!$A:$ZZ, MATCH($B102, Volcado_Dist!$A:$A, 0), MATCH(K$2, Volcado_Dist!$1:$1, 0)) / SUM(INDEX(Volcado_Dist!$A:$ZZ, 0, MATCH(K$2, Volcado_Dist!$1:$1, 0))), 0)</f>
        <v>1.3208659166668862E-2</v>
      </c>
      <c r="L102" s="16">
        <f>IFERROR(INDEX(Volcado_Dist!$A:$ZZ, MATCH($B102, Volcado_Dist!$A:$A, 0), MATCH(L$2, Volcado_Dist!$1:$1, 0)) / SUM(INDEX(Volcado_Dist!$A:$ZZ, 0, MATCH(L$2, Volcado_Dist!$1:$1, 0))), 0)</f>
        <v>1.3238379350150759E-2</v>
      </c>
      <c r="M102" s="16">
        <f>IFERROR(INDEX(Volcado_Dist!$A:$ZZ, MATCH($B102, Volcado_Dist!$A:$A, 0), MATCH(M$2, Volcado_Dist!$1:$1, 0)) / SUM(INDEX(Volcado_Dist!$A:$ZZ, 0, MATCH(M$2, Volcado_Dist!$1:$1, 0))), 0)</f>
        <v>1.9409987192623313E-2</v>
      </c>
      <c r="N102" s="16">
        <f>IFERROR(INDEX(Volcado_Dist!$A:$ZZ, MATCH($B102, Volcado_Dist!$A:$A, 0), MATCH(N$2, Volcado_Dist!$1:$1, 0)) / SUM(INDEX(Volcado_Dist!$A:$ZZ, 0, MATCH(N$2, Volcado_Dist!$1:$1, 0))), 0)</f>
        <v>0</v>
      </c>
      <c r="O102" s="16">
        <f>IFERROR(INDEX(Volcado_Dist!$A:$ZZ, MATCH($B102, Volcado_Dist!$A:$A, 0), MATCH(O$2, Volcado_Dist!$1:$1, 0)) / SUM(INDEX(Volcado_Dist!$A:$ZZ, 0, MATCH(O$2, Volcado_Dist!$1:$1, 0))), 0)</f>
        <v>5.2647514497097233E-3</v>
      </c>
      <c r="P102" s="16">
        <f>IFERROR(INDEX(Volcado_Dist!$A:$ZZ, MATCH($B102, Volcado_Dist!$A:$A, 0), MATCH(P$2, Volcado_Dist!$1:$1, 0)) / SUM(INDEX(Volcado_Dist!$A:$ZZ, 0, MATCH(P$2, Volcado_Dist!$1:$1, 0))), 0)</f>
        <v>1.6350666223280776E-2</v>
      </c>
      <c r="Q102" s="16">
        <f>IFERROR(INDEX(Volcado_Dist!$A:$ZZ, MATCH($B102, Volcado_Dist!$A:$A, 0), MATCH(Q$2, Volcado_Dist!$1:$1, 0)) / SUM(INDEX(Volcado_Dist!$A:$ZZ, 0, MATCH(Q$2, Volcado_Dist!$1:$1, 0))), 0)</f>
        <v>0.11447992388526901</v>
      </c>
      <c r="R102" s="16">
        <f>IFERROR(INDEX(Volcado_Dist!$A:$ZZ, MATCH($B102, Volcado_Dist!$A:$A, 0), MATCH(R$2, Volcado_Dist!$1:$1, 0)) / SUM(INDEX(Volcado_Dist!$A:$ZZ, 0, MATCH(R$2, Volcado_Dist!$1:$1, 0))), 0)</f>
        <v>6.1017845264002574E-3</v>
      </c>
      <c r="S102" s="16">
        <f>IFERROR(INDEX(Volcado_Dist!$A:$ZZ, MATCH($B102, Volcado_Dist!$A:$A, 0), MATCH(S$2, Volcado_Dist!$1:$1, 0)) / SUM(INDEX(Volcado_Dist!$A:$ZZ, 0, MATCH(S$2, Volcado_Dist!$1:$1, 0))), 0)</f>
        <v>1.2582731280116104E-2</v>
      </c>
      <c r="T102" s="16">
        <f>IFERROR(INDEX(Volcado_Dist!$A:$ZZ, MATCH($B102, Volcado_Dist!$A:$A, 0), MATCH(T$2, Volcado_Dist!$1:$1, 0)) / SUM(INDEX(Volcado_Dist!$A:$ZZ, 0, MATCH(T$2, Volcado_Dist!$1:$1, 0))), 0)</f>
        <v>1.3393996933177384E-2</v>
      </c>
      <c r="U102" s="16">
        <f>IFERROR(INDEX(Volcado_Dist!$A:$ZZ, MATCH($B102, Volcado_Dist!$A:$A, 0), MATCH(U$2, Volcado_Dist!$1:$1, 0)) / SUM(INDEX(Volcado_Dist!$A:$ZZ, 0, MATCH(U$2, Volcado_Dist!$1:$1, 0))), 0)</f>
        <v>3.4201503394818461E-3</v>
      </c>
      <c r="V102" s="16">
        <f>IFERROR(INDEX(Volcado_Dist!$A:$ZZ, MATCH($B102, Volcado_Dist!$A:$A, 0), MATCH(V$2, Volcado_Dist!$1:$1, 0)) / SUM(INDEX(Volcado_Dist!$A:$ZZ, 0, MATCH(V$2, Volcado_Dist!$1:$1, 0))), 0)</f>
        <v>1.0456831416585918E-2</v>
      </c>
      <c r="W102" s="16">
        <f t="shared" si="3"/>
        <v>1.5562323710636494E-2</v>
      </c>
      <c r="X102" s="17">
        <f>IFERROR(SUM(_xlfn.XLOOKUP($B102, Volcado_Vend!$A:$A, Volcado_Vend!$C:$ZZ, 0)) / SUM(Volcado_Vend!$C:$ZZ), 0)</f>
        <v>1.4568115211172211E-2</v>
      </c>
      <c r="Y102" s="24">
        <f t="shared" si="2"/>
        <v>1.5065219460904352E-2</v>
      </c>
    </row>
    <row r="103" spans="2:25" x14ac:dyDescent="0.25">
      <c r="B103" s="15" t="s">
        <v>127</v>
      </c>
      <c r="C103" s="16">
        <f>IFERROR(INDEX(Volcado_Dist!$A:$ZZ, MATCH($B103, Volcado_Dist!$A:$A, 0), MATCH(C$2, Volcado_Dist!$1:$1, 0)) / SUM(INDEX(Volcado_Dist!$A:$ZZ, 0, MATCH(C$2, Volcado_Dist!$1:$1, 0))), 0)</f>
        <v>0</v>
      </c>
      <c r="D103" s="16">
        <f>IFERROR(INDEX(Volcado_Dist!$A:$ZZ, MATCH($B103, Volcado_Dist!$A:$A, 0), MATCH(D$2, Volcado_Dist!$1:$1, 0)) / SUM(INDEX(Volcado_Dist!$A:$ZZ, 0, MATCH(D$2, Volcado_Dist!$1:$1, 0))), 0)</f>
        <v>0</v>
      </c>
      <c r="E103" s="16">
        <f>IFERROR(INDEX(Volcado_Dist!$A:$ZZ, MATCH($B103, Volcado_Dist!$A:$A, 0), MATCH(E$2, Volcado_Dist!$1:$1, 0)) / SUM(INDEX(Volcado_Dist!$A:$ZZ, 0, MATCH(E$2, Volcado_Dist!$1:$1, 0))), 0)</f>
        <v>0</v>
      </c>
      <c r="F103" s="16">
        <f>IFERROR(INDEX(Volcado_Dist!$A:$ZZ, MATCH($B103, Volcado_Dist!$A:$A, 0), MATCH(F$2, Volcado_Dist!$1:$1, 0)) / SUM(INDEX(Volcado_Dist!$A:$ZZ, 0, MATCH(F$2, Volcado_Dist!$1:$1, 0))), 0)</f>
        <v>7.3413102811931783E-3</v>
      </c>
      <c r="G103" s="16">
        <f>IFERROR(INDEX(Volcado_Dist!$A:$ZZ, MATCH($B103, Volcado_Dist!$A:$A, 0), MATCH(G$2, Volcado_Dist!$1:$1, 0)) / SUM(INDEX(Volcado_Dist!$A:$ZZ, 0, MATCH(G$2, Volcado_Dist!$1:$1, 0))), 0)</f>
        <v>0</v>
      </c>
      <c r="H103" s="16">
        <f>IFERROR(INDEX(Volcado_Dist!$A:$ZZ, MATCH($B103, Volcado_Dist!$A:$A, 0), MATCH(H$2, Volcado_Dist!$1:$1, 0)) / SUM(INDEX(Volcado_Dist!$A:$ZZ, 0, MATCH(H$2, Volcado_Dist!$1:$1, 0))), 0)</f>
        <v>0</v>
      </c>
      <c r="I103" s="16">
        <f>IFERROR(INDEX(Volcado_Dist!$A:$ZZ, MATCH($B103, Volcado_Dist!$A:$A, 0), MATCH(I$2, Volcado_Dist!$1:$1, 0)) / SUM(INDEX(Volcado_Dist!$A:$ZZ, 0, MATCH(I$2, Volcado_Dist!$1:$1, 0))), 0)</f>
        <v>1.8692094989740174E-3</v>
      </c>
      <c r="J103" s="16">
        <f>IFERROR(INDEX(Volcado_Dist!$A:$ZZ, MATCH($B103, Volcado_Dist!$A:$A, 0), MATCH(J$2, Volcado_Dist!$1:$1, 0)) / SUM(INDEX(Volcado_Dist!$A:$ZZ, 0, MATCH(J$2, Volcado_Dist!$1:$1, 0))), 0)</f>
        <v>0</v>
      </c>
      <c r="K103" s="16">
        <f>IFERROR(INDEX(Volcado_Dist!$A:$ZZ, MATCH($B103, Volcado_Dist!$A:$A, 0), MATCH(K$2, Volcado_Dist!$1:$1, 0)) / SUM(INDEX(Volcado_Dist!$A:$ZZ, 0, MATCH(K$2, Volcado_Dist!$1:$1, 0))), 0)</f>
        <v>0</v>
      </c>
      <c r="L103" s="16">
        <f>IFERROR(INDEX(Volcado_Dist!$A:$ZZ, MATCH($B103, Volcado_Dist!$A:$A, 0), MATCH(L$2, Volcado_Dist!$1:$1, 0)) / SUM(INDEX(Volcado_Dist!$A:$ZZ, 0, MATCH(L$2, Volcado_Dist!$1:$1, 0))), 0)</f>
        <v>0</v>
      </c>
      <c r="M103" s="16">
        <f>IFERROR(INDEX(Volcado_Dist!$A:$ZZ, MATCH($B103, Volcado_Dist!$A:$A, 0), MATCH(M$2, Volcado_Dist!$1:$1, 0)) / SUM(INDEX(Volcado_Dist!$A:$ZZ, 0, MATCH(M$2, Volcado_Dist!$1:$1, 0))), 0)</f>
        <v>0</v>
      </c>
      <c r="N103" s="16">
        <f>IFERROR(INDEX(Volcado_Dist!$A:$ZZ, MATCH($B103, Volcado_Dist!$A:$A, 0), MATCH(N$2, Volcado_Dist!$1:$1, 0)) / SUM(INDEX(Volcado_Dist!$A:$ZZ, 0, MATCH(N$2, Volcado_Dist!$1:$1, 0))), 0)</f>
        <v>0</v>
      </c>
      <c r="O103" s="16">
        <f>IFERROR(INDEX(Volcado_Dist!$A:$ZZ, MATCH($B103, Volcado_Dist!$A:$A, 0), MATCH(O$2, Volcado_Dist!$1:$1, 0)) / SUM(INDEX(Volcado_Dist!$A:$ZZ, 0, MATCH(O$2, Volcado_Dist!$1:$1, 0))), 0)</f>
        <v>0</v>
      </c>
      <c r="P103" s="16">
        <f>IFERROR(INDEX(Volcado_Dist!$A:$ZZ, MATCH($B103, Volcado_Dist!$A:$A, 0), MATCH(P$2, Volcado_Dist!$1:$1, 0)) / SUM(INDEX(Volcado_Dist!$A:$ZZ, 0, MATCH(P$2, Volcado_Dist!$1:$1, 0))), 0)</f>
        <v>0</v>
      </c>
      <c r="Q103" s="16">
        <f>IFERROR(INDEX(Volcado_Dist!$A:$ZZ, MATCH($B103, Volcado_Dist!$A:$A, 0), MATCH(Q$2, Volcado_Dist!$1:$1, 0)) / SUM(INDEX(Volcado_Dist!$A:$ZZ, 0, MATCH(Q$2, Volcado_Dist!$1:$1, 0))), 0)</f>
        <v>0</v>
      </c>
      <c r="R103" s="16">
        <f>IFERROR(INDEX(Volcado_Dist!$A:$ZZ, MATCH($B103, Volcado_Dist!$A:$A, 0), MATCH(R$2, Volcado_Dist!$1:$1, 0)) / SUM(INDEX(Volcado_Dist!$A:$ZZ, 0, MATCH(R$2, Volcado_Dist!$1:$1, 0))), 0)</f>
        <v>0</v>
      </c>
      <c r="S103" s="16">
        <f>IFERROR(INDEX(Volcado_Dist!$A:$ZZ, MATCH($B103, Volcado_Dist!$A:$A, 0), MATCH(S$2, Volcado_Dist!$1:$1, 0)) / SUM(INDEX(Volcado_Dist!$A:$ZZ, 0, MATCH(S$2, Volcado_Dist!$1:$1, 0))), 0)</f>
        <v>0</v>
      </c>
      <c r="T103" s="16">
        <f>IFERROR(INDEX(Volcado_Dist!$A:$ZZ, MATCH($B103, Volcado_Dist!$A:$A, 0), MATCH(T$2, Volcado_Dist!$1:$1, 0)) / SUM(INDEX(Volcado_Dist!$A:$ZZ, 0, MATCH(T$2, Volcado_Dist!$1:$1, 0))), 0)</f>
        <v>0</v>
      </c>
      <c r="U103" s="16">
        <f>IFERROR(INDEX(Volcado_Dist!$A:$ZZ, MATCH($B103, Volcado_Dist!$A:$A, 0), MATCH(U$2, Volcado_Dist!$1:$1, 0)) / SUM(INDEX(Volcado_Dist!$A:$ZZ, 0, MATCH(U$2, Volcado_Dist!$1:$1, 0))), 0)</f>
        <v>0</v>
      </c>
      <c r="V103" s="16">
        <f>IFERROR(INDEX(Volcado_Dist!$A:$ZZ, MATCH($B103, Volcado_Dist!$A:$A, 0), MATCH(V$2, Volcado_Dist!$1:$1, 0)) / SUM(INDEX(Volcado_Dist!$A:$ZZ, 0, MATCH(V$2, Volcado_Dist!$1:$1, 0))), 0)</f>
        <v>0</v>
      </c>
      <c r="W103" s="16">
        <f t="shared" si="3"/>
        <v>4.6052598900835973E-4</v>
      </c>
      <c r="X103" s="17">
        <f>IFERROR(SUM(_xlfn.XLOOKUP($B103, Volcado_Vend!$A:$A, Volcado_Vend!$C:$ZZ, 0)) / SUM(Volcado_Vend!$C:$ZZ), 0)</f>
        <v>1.4747031812718785E-3</v>
      </c>
      <c r="Y103" s="24">
        <f t="shared" si="2"/>
        <v>9.6761458514011919E-4</v>
      </c>
    </row>
    <row r="104" spans="2:25" x14ac:dyDescent="0.25">
      <c r="B104" s="15" t="s">
        <v>128</v>
      </c>
      <c r="C104" s="16">
        <f>IFERROR(INDEX(Volcado_Dist!$A:$ZZ, MATCH($B104, Volcado_Dist!$A:$A, 0), MATCH(C$2, Volcado_Dist!$1:$1, 0)) / SUM(INDEX(Volcado_Dist!$A:$ZZ, 0, MATCH(C$2, Volcado_Dist!$1:$1, 0))), 0)</f>
        <v>1.0954353904568468E-4</v>
      </c>
      <c r="D104" s="16">
        <f>IFERROR(INDEX(Volcado_Dist!$A:$ZZ, MATCH($B104, Volcado_Dist!$A:$A, 0), MATCH(D$2, Volcado_Dist!$1:$1, 0)) / SUM(INDEX(Volcado_Dist!$A:$ZZ, 0, MATCH(D$2, Volcado_Dist!$1:$1, 0))), 0)</f>
        <v>0</v>
      </c>
      <c r="E104" s="16">
        <f>IFERROR(INDEX(Volcado_Dist!$A:$ZZ, MATCH($B104, Volcado_Dist!$A:$A, 0), MATCH(E$2, Volcado_Dist!$1:$1, 0)) / SUM(INDEX(Volcado_Dist!$A:$ZZ, 0, MATCH(E$2, Volcado_Dist!$1:$1, 0))), 0)</f>
        <v>-1.0767452419080045E-3</v>
      </c>
      <c r="F104" s="16">
        <f>IFERROR(INDEX(Volcado_Dist!$A:$ZZ, MATCH($B104, Volcado_Dist!$A:$A, 0), MATCH(F$2, Volcado_Dist!$1:$1, 0)) / SUM(INDEX(Volcado_Dist!$A:$ZZ, 0, MATCH(F$2, Volcado_Dist!$1:$1, 0))), 0)</f>
        <v>0</v>
      </c>
      <c r="G104" s="16">
        <f>IFERROR(INDEX(Volcado_Dist!$A:$ZZ, MATCH($B104, Volcado_Dist!$A:$A, 0), MATCH(G$2, Volcado_Dist!$1:$1, 0)) / SUM(INDEX(Volcado_Dist!$A:$ZZ, 0, MATCH(G$2, Volcado_Dist!$1:$1, 0))), 0)</f>
        <v>0</v>
      </c>
      <c r="H104" s="16">
        <f>IFERROR(INDEX(Volcado_Dist!$A:$ZZ, MATCH($B104, Volcado_Dist!$A:$A, 0), MATCH(H$2, Volcado_Dist!$1:$1, 0)) / SUM(INDEX(Volcado_Dist!$A:$ZZ, 0, MATCH(H$2, Volcado_Dist!$1:$1, 0))), 0)</f>
        <v>0</v>
      </c>
      <c r="I104" s="16">
        <f>IFERROR(INDEX(Volcado_Dist!$A:$ZZ, MATCH($B104, Volcado_Dist!$A:$A, 0), MATCH(I$2, Volcado_Dist!$1:$1, 0)) / SUM(INDEX(Volcado_Dist!$A:$ZZ, 0, MATCH(I$2, Volcado_Dist!$1:$1, 0))), 0)</f>
        <v>-1.9590473663785198E-4</v>
      </c>
      <c r="J104" s="16">
        <f>IFERROR(INDEX(Volcado_Dist!$A:$ZZ, MATCH($B104, Volcado_Dist!$A:$A, 0), MATCH(J$2, Volcado_Dist!$1:$1, 0)) / SUM(INDEX(Volcado_Dist!$A:$ZZ, 0, MATCH(J$2, Volcado_Dist!$1:$1, 0))), 0)</f>
        <v>0</v>
      </c>
      <c r="K104" s="16">
        <f>IFERROR(INDEX(Volcado_Dist!$A:$ZZ, MATCH($B104, Volcado_Dist!$A:$A, 0), MATCH(K$2, Volcado_Dist!$1:$1, 0)) / SUM(INDEX(Volcado_Dist!$A:$ZZ, 0, MATCH(K$2, Volcado_Dist!$1:$1, 0))), 0)</f>
        <v>2.9919164836284971E-4</v>
      </c>
      <c r="L104" s="16">
        <f>IFERROR(INDEX(Volcado_Dist!$A:$ZZ, MATCH($B104, Volcado_Dist!$A:$A, 0), MATCH(L$2, Volcado_Dist!$1:$1, 0)) / SUM(INDEX(Volcado_Dist!$A:$ZZ, 0, MATCH(L$2, Volcado_Dist!$1:$1, 0))), 0)</f>
        <v>1.8956085988552484E-3</v>
      </c>
      <c r="M104" s="16">
        <f>IFERROR(INDEX(Volcado_Dist!$A:$ZZ, MATCH($B104, Volcado_Dist!$A:$A, 0), MATCH(M$2, Volcado_Dist!$1:$1, 0)) / SUM(INDEX(Volcado_Dist!$A:$ZZ, 0, MATCH(M$2, Volcado_Dist!$1:$1, 0))), 0)</f>
        <v>-4.6674795892140126E-4</v>
      </c>
      <c r="N104" s="16">
        <f>IFERROR(INDEX(Volcado_Dist!$A:$ZZ, MATCH($B104, Volcado_Dist!$A:$A, 0), MATCH(N$2, Volcado_Dist!$1:$1, 0)) / SUM(INDEX(Volcado_Dist!$A:$ZZ, 0, MATCH(N$2, Volcado_Dist!$1:$1, 0))), 0)</f>
        <v>0</v>
      </c>
      <c r="O104" s="16">
        <f>IFERROR(INDEX(Volcado_Dist!$A:$ZZ, MATCH($B104, Volcado_Dist!$A:$A, 0), MATCH(O$2, Volcado_Dist!$1:$1, 0)) / SUM(INDEX(Volcado_Dist!$A:$ZZ, 0, MATCH(O$2, Volcado_Dist!$1:$1, 0))), 0)</f>
        <v>0</v>
      </c>
      <c r="P104" s="16">
        <f>IFERROR(INDEX(Volcado_Dist!$A:$ZZ, MATCH($B104, Volcado_Dist!$A:$A, 0), MATCH(P$2, Volcado_Dist!$1:$1, 0)) / SUM(INDEX(Volcado_Dist!$A:$ZZ, 0, MATCH(P$2, Volcado_Dist!$1:$1, 0))), 0)</f>
        <v>0</v>
      </c>
      <c r="Q104" s="16">
        <f>IFERROR(INDEX(Volcado_Dist!$A:$ZZ, MATCH($B104, Volcado_Dist!$A:$A, 0), MATCH(Q$2, Volcado_Dist!$1:$1, 0)) / SUM(INDEX(Volcado_Dist!$A:$ZZ, 0, MATCH(Q$2, Volcado_Dist!$1:$1, 0))), 0)</f>
        <v>0</v>
      </c>
      <c r="R104" s="16">
        <f>IFERROR(INDEX(Volcado_Dist!$A:$ZZ, MATCH($B104, Volcado_Dist!$A:$A, 0), MATCH(R$2, Volcado_Dist!$1:$1, 0)) / SUM(INDEX(Volcado_Dist!$A:$ZZ, 0, MATCH(R$2, Volcado_Dist!$1:$1, 0))), 0)</f>
        <v>0</v>
      </c>
      <c r="S104" s="16">
        <f>IFERROR(INDEX(Volcado_Dist!$A:$ZZ, MATCH($B104, Volcado_Dist!$A:$A, 0), MATCH(S$2, Volcado_Dist!$1:$1, 0)) / SUM(INDEX(Volcado_Dist!$A:$ZZ, 0, MATCH(S$2, Volcado_Dist!$1:$1, 0))), 0)</f>
        <v>1.0076126854158947E-4</v>
      </c>
      <c r="T104" s="16">
        <f>IFERROR(INDEX(Volcado_Dist!$A:$ZZ, MATCH($B104, Volcado_Dist!$A:$A, 0), MATCH(T$2, Volcado_Dist!$1:$1, 0)) / SUM(INDEX(Volcado_Dist!$A:$ZZ, 0, MATCH(T$2, Volcado_Dist!$1:$1, 0))), 0)</f>
        <v>0</v>
      </c>
      <c r="U104" s="16">
        <f>IFERROR(INDEX(Volcado_Dist!$A:$ZZ, MATCH($B104, Volcado_Dist!$A:$A, 0), MATCH(U$2, Volcado_Dist!$1:$1, 0)) / SUM(INDEX(Volcado_Dist!$A:$ZZ, 0, MATCH(U$2, Volcado_Dist!$1:$1, 0))), 0)</f>
        <v>0</v>
      </c>
      <c r="V104" s="16">
        <f>IFERROR(INDEX(Volcado_Dist!$A:$ZZ, MATCH($B104, Volcado_Dist!$A:$A, 0), MATCH(V$2, Volcado_Dist!$1:$1, 0)) / SUM(INDEX(Volcado_Dist!$A:$ZZ, 0, MATCH(V$2, Volcado_Dist!$1:$1, 0))), 0)</f>
        <v>2.2098368575256926E-3</v>
      </c>
      <c r="W104" s="16">
        <f t="shared" si="3"/>
        <v>1.4377719874319035E-4</v>
      </c>
      <c r="X104" s="17">
        <f>IFERROR(SUM(_xlfn.XLOOKUP($B104, Volcado_Vend!$A:$A, Volcado_Vend!$C:$ZZ, 0)) / SUM(Volcado_Vend!$C:$ZZ), 0)</f>
        <v>1.0998039592942537E-3</v>
      </c>
      <c r="Y104" s="24">
        <f t="shared" si="2"/>
        <v>6.2179057901872207E-4</v>
      </c>
    </row>
    <row r="105" spans="2:25" x14ac:dyDescent="0.25">
      <c r="B105" s="15" t="s">
        <v>129</v>
      </c>
      <c r="C105" s="16">
        <f>IFERROR(INDEX(Volcado_Dist!$A:$ZZ, MATCH($B105, Volcado_Dist!$A:$A, 0), MATCH(C$2, Volcado_Dist!$1:$1, 0)) / SUM(INDEX(Volcado_Dist!$A:$ZZ, 0, MATCH(C$2, Volcado_Dist!$1:$1, 0))), 0)</f>
        <v>3.5496113279052119E-3</v>
      </c>
      <c r="D105" s="16">
        <f>IFERROR(INDEX(Volcado_Dist!$A:$ZZ, MATCH($B105, Volcado_Dist!$A:$A, 0), MATCH(D$2, Volcado_Dist!$1:$1, 0)) / SUM(INDEX(Volcado_Dist!$A:$ZZ, 0, MATCH(D$2, Volcado_Dist!$1:$1, 0))), 0)</f>
        <v>0</v>
      </c>
      <c r="E105" s="16">
        <f>IFERROR(INDEX(Volcado_Dist!$A:$ZZ, MATCH($B105, Volcado_Dist!$A:$A, 0), MATCH(E$2, Volcado_Dist!$1:$1, 0)) / SUM(INDEX(Volcado_Dist!$A:$ZZ, 0, MATCH(E$2, Volcado_Dist!$1:$1, 0))), 0)</f>
        <v>1.2054353185241694E-3</v>
      </c>
      <c r="F105" s="16">
        <f>IFERROR(INDEX(Volcado_Dist!$A:$ZZ, MATCH($B105, Volcado_Dist!$A:$A, 0), MATCH(F$2, Volcado_Dist!$1:$1, 0)) / SUM(INDEX(Volcado_Dist!$A:$ZZ, 0, MATCH(F$2, Volcado_Dist!$1:$1, 0))), 0)</f>
        <v>3.9892460488715233E-2</v>
      </c>
      <c r="G105" s="16">
        <f>IFERROR(INDEX(Volcado_Dist!$A:$ZZ, MATCH($B105, Volcado_Dist!$A:$A, 0), MATCH(G$2, Volcado_Dist!$1:$1, 0)) / SUM(INDEX(Volcado_Dist!$A:$ZZ, 0, MATCH(G$2, Volcado_Dist!$1:$1, 0))), 0)</f>
        <v>0</v>
      </c>
      <c r="H105" s="16">
        <f>IFERROR(INDEX(Volcado_Dist!$A:$ZZ, MATCH($B105, Volcado_Dist!$A:$A, 0), MATCH(H$2, Volcado_Dist!$1:$1, 0)) / SUM(INDEX(Volcado_Dist!$A:$ZZ, 0, MATCH(H$2, Volcado_Dist!$1:$1, 0))), 0)</f>
        <v>0.29129816399198821</v>
      </c>
      <c r="I105" s="16">
        <f>IFERROR(INDEX(Volcado_Dist!$A:$ZZ, MATCH($B105, Volcado_Dist!$A:$A, 0), MATCH(I$2, Volcado_Dist!$1:$1, 0)) / SUM(INDEX(Volcado_Dist!$A:$ZZ, 0, MATCH(I$2, Volcado_Dist!$1:$1, 0))), 0)</f>
        <v>2.6039822536260998E-2</v>
      </c>
      <c r="J105" s="16">
        <f>IFERROR(INDEX(Volcado_Dist!$A:$ZZ, MATCH($B105, Volcado_Dist!$A:$A, 0), MATCH(J$2, Volcado_Dist!$1:$1, 0)) / SUM(INDEX(Volcado_Dist!$A:$ZZ, 0, MATCH(J$2, Volcado_Dist!$1:$1, 0))), 0)</f>
        <v>0</v>
      </c>
      <c r="K105" s="16">
        <f>IFERROR(INDEX(Volcado_Dist!$A:$ZZ, MATCH($B105, Volcado_Dist!$A:$A, 0), MATCH(K$2, Volcado_Dist!$1:$1, 0)) / SUM(INDEX(Volcado_Dist!$A:$ZZ, 0, MATCH(K$2, Volcado_Dist!$1:$1, 0))), 0)</f>
        <v>1.8604404212225024E-2</v>
      </c>
      <c r="L105" s="16">
        <f>IFERROR(INDEX(Volcado_Dist!$A:$ZZ, MATCH($B105, Volcado_Dist!$A:$A, 0), MATCH(L$2, Volcado_Dist!$1:$1, 0)) / SUM(INDEX(Volcado_Dist!$A:$ZZ, 0, MATCH(L$2, Volcado_Dist!$1:$1, 0))), 0)</f>
        <v>2.6462111564888074E-2</v>
      </c>
      <c r="M105" s="16">
        <f>IFERROR(INDEX(Volcado_Dist!$A:$ZZ, MATCH($B105, Volcado_Dist!$A:$A, 0), MATCH(M$2, Volcado_Dist!$1:$1, 0)) / SUM(INDEX(Volcado_Dist!$A:$ZZ, 0, MATCH(M$2, Volcado_Dist!$1:$1, 0))), 0)</f>
        <v>5.3184938755474337E-2</v>
      </c>
      <c r="N105" s="16">
        <f>IFERROR(INDEX(Volcado_Dist!$A:$ZZ, MATCH($B105, Volcado_Dist!$A:$A, 0), MATCH(N$2, Volcado_Dist!$1:$1, 0)) / SUM(INDEX(Volcado_Dist!$A:$ZZ, 0, MATCH(N$2, Volcado_Dist!$1:$1, 0))), 0)</f>
        <v>1</v>
      </c>
      <c r="O105" s="16">
        <f>IFERROR(INDEX(Volcado_Dist!$A:$ZZ, MATCH($B105, Volcado_Dist!$A:$A, 0), MATCH(O$2, Volcado_Dist!$1:$1, 0)) / SUM(INDEX(Volcado_Dist!$A:$ZZ, 0, MATCH(O$2, Volcado_Dist!$1:$1, 0))), 0)</f>
        <v>0</v>
      </c>
      <c r="P105" s="16">
        <f>IFERROR(INDEX(Volcado_Dist!$A:$ZZ, MATCH($B105, Volcado_Dist!$A:$A, 0), MATCH(P$2, Volcado_Dist!$1:$1, 0)) / SUM(INDEX(Volcado_Dist!$A:$ZZ, 0, MATCH(P$2, Volcado_Dist!$1:$1, 0))), 0)</f>
        <v>9.0675608250272693E-3</v>
      </c>
      <c r="Q105" s="16">
        <f>IFERROR(INDEX(Volcado_Dist!$A:$ZZ, MATCH($B105, Volcado_Dist!$A:$A, 0), MATCH(Q$2, Volcado_Dist!$1:$1, 0)) / SUM(INDEX(Volcado_Dist!$A:$ZZ, 0, MATCH(Q$2, Volcado_Dist!$1:$1, 0))), 0)</f>
        <v>-3.1532972389513154E-4</v>
      </c>
      <c r="R105" s="16">
        <f>IFERROR(INDEX(Volcado_Dist!$A:$ZZ, MATCH($B105, Volcado_Dist!$A:$A, 0), MATCH(R$2, Volcado_Dist!$1:$1, 0)) / SUM(INDEX(Volcado_Dist!$A:$ZZ, 0, MATCH(R$2, Volcado_Dist!$1:$1, 0))), 0)</f>
        <v>0</v>
      </c>
      <c r="S105" s="16">
        <f>IFERROR(INDEX(Volcado_Dist!$A:$ZZ, MATCH($B105, Volcado_Dist!$A:$A, 0), MATCH(S$2, Volcado_Dist!$1:$1, 0)) / SUM(INDEX(Volcado_Dist!$A:$ZZ, 0, MATCH(S$2, Volcado_Dist!$1:$1, 0))), 0)</f>
        <v>1.3628781855031625E-2</v>
      </c>
      <c r="T105" s="16">
        <f>IFERROR(INDEX(Volcado_Dist!$A:$ZZ, MATCH($B105, Volcado_Dist!$A:$A, 0), MATCH(T$2, Volcado_Dist!$1:$1, 0)) / SUM(INDEX(Volcado_Dist!$A:$ZZ, 0, MATCH(T$2, Volcado_Dist!$1:$1, 0))), 0)</f>
        <v>-1.5134694598120879E-5</v>
      </c>
      <c r="U105" s="16">
        <f>IFERROR(INDEX(Volcado_Dist!$A:$ZZ, MATCH($B105, Volcado_Dist!$A:$A, 0), MATCH(U$2, Volcado_Dist!$1:$1, 0)) / SUM(INDEX(Volcado_Dist!$A:$ZZ, 0, MATCH(U$2, Volcado_Dist!$1:$1, 0))), 0)</f>
        <v>5.3186260391178151E-2</v>
      </c>
      <c r="V105" s="16">
        <f>IFERROR(INDEX(Volcado_Dist!$A:$ZZ, MATCH($B105, Volcado_Dist!$A:$A, 0), MATCH(V$2, Volcado_Dist!$1:$1, 0)) / SUM(INDEX(Volcado_Dist!$A:$ZZ, 0, MATCH(V$2, Volcado_Dist!$1:$1, 0))), 0)</f>
        <v>3.0481162290072094E-2</v>
      </c>
      <c r="W105" s="16">
        <f t="shared" si="3"/>
        <v>7.8313512456939863E-2</v>
      </c>
      <c r="X105" s="17">
        <f>IFERROR(SUM(_xlfn.XLOOKUP($B105, Volcado_Vend!$A:$A, Volcado_Vend!$C:$ZZ, 0)) / SUM(Volcado_Vend!$C:$ZZ), 0)</f>
        <v>0.11027892125943571</v>
      </c>
      <c r="Y105" s="24">
        <f t="shared" si="2"/>
        <v>9.4296216858187787E-2</v>
      </c>
    </row>
    <row r="106" spans="2:25" x14ac:dyDescent="0.25">
      <c r="B106" s="15" t="s">
        <v>130</v>
      </c>
      <c r="C106" s="16">
        <f>IFERROR(INDEX(Volcado_Dist!$A:$ZZ, MATCH($B106, Volcado_Dist!$A:$A, 0), MATCH(C$2, Volcado_Dist!$1:$1, 0)) / SUM(INDEX(Volcado_Dist!$A:$ZZ, 0, MATCH(C$2, Volcado_Dist!$1:$1, 0))), 0)</f>
        <v>0</v>
      </c>
      <c r="D106" s="16">
        <f>IFERROR(INDEX(Volcado_Dist!$A:$ZZ, MATCH($B106, Volcado_Dist!$A:$A, 0), MATCH(D$2, Volcado_Dist!$1:$1, 0)) / SUM(INDEX(Volcado_Dist!$A:$ZZ, 0, MATCH(D$2, Volcado_Dist!$1:$1, 0))), 0)</f>
        <v>0</v>
      </c>
      <c r="E106" s="16">
        <f>IFERROR(INDEX(Volcado_Dist!$A:$ZZ, MATCH($B106, Volcado_Dist!$A:$A, 0), MATCH(E$2, Volcado_Dist!$1:$1, 0)) / SUM(INDEX(Volcado_Dist!$A:$ZZ, 0, MATCH(E$2, Volcado_Dist!$1:$1, 0))), 0)</f>
        <v>0</v>
      </c>
      <c r="F106" s="16">
        <f>IFERROR(INDEX(Volcado_Dist!$A:$ZZ, MATCH($B106, Volcado_Dist!$A:$A, 0), MATCH(F$2, Volcado_Dist!$1:$1, 0)) / SUM(INDEX(Volcado_Dist!$A:$ZZ, 0, MATCH(F$2, Volcado_Dist!$1:$1, 0))), 0)</f>
        <v>0</v>
      </c>
      <c r="G106" s="16">
        <f>IFERROR(INDEX(Volcado_Dist!$A:$ZZ, MATCH($B106, Volcado_Dist!$A:$A, 0), MATCH(G$2, Volcado_Dist!$1:$1, 0)) / SUM(INDEX(Volcado_Dist!$A:$ZZ, 0, MATCH(G$2, Volcado_Dist!$1:$1, 0))), 0)</f>
        <v>0</v>
      </c>
      <c r="H106" s="16">
        <f>IFERROR(INDEX(Volcado_Dist!$A:$ZZ, MATCH($B106, Volcado_Dist!$A:$A, 0), MATCH(H$2, Volcado_Dist!$1:$1, 0)) / SUM(INDEX(Volcado_Dist!$A:$ZZ, 0, MATCH(H$2, Volcado_Dist!$1:$1, 0))), 0)</f>
        <v>0</v>
      </c>
      <c r="I106" s="16">
        <f>IFERROR(INDEX(Volcado_Dist!$A:$ZZ, MATCH($B106, Volcado_Dist!$A:$A, 0), MATCH(I$2, Volcado_Dist!$1:$1, 0)) / SUM(INDEX(Volcado_Dist!$A:$ZZ, 0, MATCH(I$2, Volcado_Dist!$1:$1, 0))), 0)</f>
        <v>2.0461306687807484E-3</v>
      </c>
      <c r="J106" s="16">
        <f>IFERROR(INDEX(Volcado_Dist!$A:$ZZ, MATCH($B106, Volcado_Dist!$A:$A, 0), MATCH(J$2, Volcado_Dist!$1:$1, 0)) / SUM(INDEX(Volcado_Dist!$A:$ZZ, 0, MATCH(J$2, Volcado_Dist!$1:$1, 0))), 0)</f>
        <v>0</v>
      </c>
      <c r="K106" s="16">
        <f>IFERROR(INDEX(Volcado_Dist!$A:$ZZ, MATCH($B106, Volcado_Dist!$A:$A, 0), MATCH(K$2, Volcado_Dist!$1:$1, 0)) / SUM(INDEX(Volcado_Dist!$A:$ZZ, 0, MATCH(K$2, Volcado_Dist!$1:$1, 0))), 0)</f>
        <v>0</v>
      </c>
      <c r="L106" s="16">
        <f>IFERROR(INDEX(Volcado_Dist!$A:$ZZ, MATCH($B106, Volcado_Dist!$A:$A, 0), MATCH(L$2, Volcado_Dist!$1:$1, 0)) / SUM(INDEX(Volcado_Dist!$A:$ZZ, 0, MATCH(L$2, Volcado_Dist!$1:$1, 0))), 0)</f>
        <v>0</v>
      </c>
      <c r="M106" s="16">
        <f>IFERROR(INDEX(Volcado_Dist!$A:$ZZ, MATCH($B106, Volcado_Dist!$A:$A, 0), MATCH(M$2, Volcado_Dist!$1:$1, 0)) / SUM(INDEX(Volcado_Dist!$A:$ZZ, 0, MATCH(M$2, Volcado_Dist!$1:$1, 0))), 0)</f>
        <v>0</v>
      </c>
      <c r="N106" s="16">
        <f>IFERROR(INDEX(Volcado_Dist!$A:$ZZ, MATCH($B106, Volcado_Dist!$A:$A, 0), MATCH(N$2, Volcado_Dist!$1:$1, 0)) / SUM(INDEX(Volcado_Dist!$A:$ZZ, 0, MATCH(N$2, Volcado_Dist!$1:$1, 0))), 0)</f>
        <v>0</v>
      </c>
      <c r="O106" s="16">
        <f>IFERROR(INDEX(Volcado_Dist!$A:$ZZ, MATCH($B106, Volcado_Dist!$A:$A, 0), MATCH(O$2, Volcado_Dist!$1:$1, 0)) / SUM(INDEX(Volcado_Dist!$A:$ZZ, 0, MATCH(O$2, Volcado_Dist!$1:$1, 0))), 0)</f>
        <v>0</v>
      </c>
      <c r="P106" s="16">
        <f>IFERROR(INDEX(Volcado_Dist!$A:$ZZ, MATCH($B106, Volcado_Dist!$A:$A, 0), MATCH(P$2, Volcado_Dist!$1:$1, 0)) / SUM(INDEX(Volcado_Dist!$A:$ZZ, 0, MATCH(P$2, Volcado_Dist!$1:$1, 0))), 0)</f>
        <v>1.094326611490951E-3</v>
      </c>
      <c r="Q106" s="16">
        <f>IFERROR(INDEX(Volcado_Dist!$A:$ZZ, MATCH($B106, Volcado_Dist!$A:$A, 0), MATCH(Q$2, Volcado_Dist!$1:$1, 0)) / SUM(INDEX(Volcado_Dist!$A:$ZZ, 0, MATCH(Q$2, Volcado_Dist!$1:$1, 0))), 0)</f>
        <v>0</v>
      </c>
      <c r="R106" s="16">
        <f>IFERROR(INDEX(Volcado_Dist!$A:$ZZ, MATCH($B106, Volcado_Dist!$A:$A, 0), MATCH(R$2, Volcado_Dist!$1:$1, 0)) / SUM(INDEX(Volcado_Dist!$A:$ZZ, 0, MATCH(R$2, Volcado_Dist!$1:$1, 0))), 0)</f>
        <v>0</v>
      </c>
      <c r="S106" s="16">
        <f>IFERROR(INDEX(Volcado_Dist!$A:$ZZ, MATCH($B106, Volcado_Dist!$A:$A, 0), MATCH(S$2, Volcado_Dist!$1:$1, 0)) / SUM(INDEX(Volcado_Dist!$A:$ZZ, 0, MATCH(S$2, Volcado_Dist!$1:$1, 0))), 0)</f>
        <v>0</v>
      </c>
      <c r="T106" s="16">
        <f>IFERROR(INDEX(Volcado_Dist!$A:$ZZ, MATCH($B106, Volcado_Dist!$A:$A, 0), MATCH(T$2, Volcado_Dist!$1:$1, 0)) / SUM(INDEX(Volcado_Dist!$A:$ZZ, 0, MATCH(T$2, Volcado_Dist!$1:$1, 0))), 0)</f>
        <v>0</v>
      </c>
      <c r="U106" s="16">
        <f>IFERROR(INDEX(Volcado_Dist!$A:$ZZ, MATCH($B106, Volcado_Dist!$A:$A, 0), MATCH(U$2, Volcado_Dist!$1:$1, 0)) / SUM(INDEX(Volcado_Dist!$A:$ZZ, 0, MATCH(U$2, Volcado_Dist!$1:$1, 0))), 0)</f>
        <v>0</v>
      </c>
      <c r="V106" s="16">
        <f>IFERROR(INDEX(Volcado_Dist!$A:$ZZ, MATCH($B106, Volcado_Dist!$A:$A, 0), MATCH(V$2, Volcado_Dist!$1:$1, 0)) / SUM(INDEX(Volcado_Dist!$A:$ZZ, 0, MATCH(V$2, Volcado_Dist!$1:$1, 0))), 0)</f>
        <v>0</v>
      </c>
      <c r="W106" s="16">
        <f t="shared" si="3"/>
        <v>1.5702286401358495E-4</v>
      </c>
      <c r="X106" s="17">
        <f>IFERROR(SUM(_xlfn.XLOOKUP($B106, Volcado_Vend!$A:$A, Volcado_Vend!$C:$ZZ, 0)) / SUM(Volcado_Vend!$C:$ZZ), 0)</f>
        <v>1.4753670134489084E-3</v>
      </c>
      <c r="Y106" s="24">
        <f t="shared" si="2"/>
        <v>8.1619493873124672E-4</v>
      </c>
    </row>
    <row r="107" spans="2:25" x14ac:dyDescent="0.25">
      <c r="B107" s="15" t="s">
        <v>131</v>
      </c>
      <c r="C107" s="16">
        <f>IFERROR(INDEX(Volcado_Dist!$A:$ZZ, MATCH($B107, Volcado_Dist!$A:$A, 0), MATCH(C$2, Volcado_Dist!$1:$1, 0)) / SUM(INDEX(Volcado_Dist!$A:$ZZ, 0, MATCH(C$2, Volcado_Dist!$1:$1, 0))), 0)</f>
        <v>0</v>
      </c>
      <c r="D107" s="16">
        <f>IFERROR(INDEX(Volcado_Dist!$A:$ZZ, MATCH($B107, Volcado_Dist!$A:$A, 0), MATCH(D$2, Volcado_Dist!$1:$1, 0)) / SUM(INDEX(Volcado_Dist!$A:$ZZ, 0, MATCH(D$2, Volcado_Dist!$1:$1, 0))), 0)</f>
        <v>0</v>
      </c>
      <c r="E107" s="16">
        <f>IFERROR(INDEX(Volcado_Dist!$A:$ZZ, MATCH($B107, Volcado_Dist!$A:$A, 0), MATCH(E$2, Volcado_Dist!$1:$1, 0)) / SUM(INDEX(Volcado_Dist!$A:$ZZ, 0, MATCH(E$2, Volcado_Dist!$1:$1, 0))), 0)</f>
        <v>0</v>
      </c>
      <c r="F107" s="16">
        <f>IFERROR(INDEX(Volcado_Dist!$A:$ZZ, MATCH($B107, Volcado_Dist!$A:$A, 0), MATCH(F$2, Volcado_Dist!$1:$1, 0)) / SUM(INDEX(Volcado_Dist!$A:$ZZ, 0, MATCH(F$2, Volcado_Dist!$1:$1, 0))), 0)</f>
        <v>0</v>
      </c>
      <c r="G107" s="16">
        <f>IFERROR(INDEX(Volcado_Dist!$A:$ZZ, MATCH($B107, Volcado_Dist!$A:$A, 0), MATCH(G$2, Volcado_Dist!$1:$1, 0)) / SUM(INDEX(Volcado_Dist!$A:$ZZ, 0, MATCH(G$2, Volcado_Dist!$1:$1, 0))), 0)</f>
        <v>0</v>
      </c>
      <c r="H107" s="16">
        <f>IFERROR(INDEX(Volcado_Dist!$A:$ZZ, MATCH($B107, Volcado_Dist!$A:$A, 0), MATCH(H$2, Volcado_Dist!$1:$1, 0)) / SUM(INDEX(Volcado_Dist!$A:$ZZ, 0, MATCH(H$2, Volcado_Dist!$1:$1, 0))), 0)</f>
        <v>0</v>
      </c>
      <c r="I107" s="16">
        <f>IFERROR(INDEX(Volcado_Dist!$A:$ZZ, MATCH($B107, Volcado_Dist!$A:$A, 0), MATCH(I$2, Volcado_Dist!$1:$1, 0)) / SUM(INDEX(Volcado_Dist!$A:$ZZ, 0, MATCH(I$2, Volcado_Dist!$1:$1, 0))), 0)</f>
        <v>0</v>
      </c>
      <c r="J107" s="16">
        <f>IFERROR(INDEX(Volcado_Dist!$A:$ZZ, MATCH($B107, Volcado_Dist!$A:$A, 0), MATCH(J$2, Volcado_Dist!$1:$1, 0)) / SUM(INDEX(Volcado_Dist!$A:$ZZ, 0, MATCH(J$2, Volcado_Dist!$1:$1, 0))), 0)</f>
        <v>0</v>
      </c>
      <c r="K107" s="16">
        <f>IFERROR(INDEX(Volcado_Dist!$A:$ZZ, MATCH($B107, Volcado_Dist!$A:$A, 0), MATCH(K$2, Volcado_Dist!$1:$1, 0)) / SUM(INDEX(Volcado_Dist!$A:$ZZ, 0, MATCH(K$2, Volcado_Dist!$1:$1, 0))), 0)</f>
        <v>-9.4613521656727428E-5</v>
      </c>
      <c r="L107" s="16">
        <f>IFERROR(INDEX(Volcado_Dist!$A:$ZZ, MATCH($B107, Volcado_Dist!$A:$A, 0), MATCH(L$2, Volcado_Dist!$1:$1, 0)) / SUM(INDEX(Volcado_Dist!$A:$ZZ, 0, MATCH(L$2, Volcado_Dist!$1:$1, 0))), 0)</f>
        <v>0</v>
      </c>
      <c r="M107" s="16">
        <f>IFERROR(INDEX(Volcado_Dist!$A:$ZZ, MATCH($B107, Volcado_Dist!$A:$A, 0), MATCH(M$2, Volcado_Dist!$1:$1, 0)) / SUM(INDEX(Volcado_Dist!$A:$ZZ, 0, MATCH(M$2, Volcado_Dist!$1:$1, 0))), 0)</f>
        <v>0</v>
      </c>
      <c r="N107" s="16">
        <f>IFERROR(INDEX(Volcado_Dist!$A:$ZZ, MATCH($B107, Volcado_Dist!$A:$A, 0), MATCH(N$2, Volcado_Dist!$1:$1, 0)) / SUM(INDEX(Volcado_Dist!$A:$ZZ, 0, MATCH(N$2, Volcado_Dist!$1:$1, 0))), 0)</f>
        <v>0</v>
      </c>
      <c r="O107" s="16">
        <f>IFERROR(INDEX(Volcado_Dist!$A:$ZZ, MATCH($B107, Volcado_Dist!$A:$A, 0), MATCH(O$2, Volcado_Dist!$1:$1, 0)) / SUM(INDEX(Volcado_Dist!$A:$ZZ, 0, MATCH(O$2, Volcado_Dist!$1:$1, 0))), 0)</f>
        <v>0</v>
      </c>
      <c r="P107" s="16">
        <f>IFERROR(INDEX(Volcado_Dist!$A:$ZZ, MATCH($B107, Volcado_Dist!$A:$A, 0), MATCH(P$2, Volcado_Dist!$1:$1, 0)) / SUM(INDEX(Volcado_Dist!$A:$ZZ, 0, MATCH(P$2, Volcado_Dist!$1:$1, 0))), 0)</f>
        <v>0</v>
      </c>
      <c r="Q107" s="16">
        <f>IFERROR(INDEX(Volcado_Dist!$A:$ZZ, MATCH($B107, Volcado_Dist!$A:$A, 0), MATCH(Q$2, Volcado_Dist!$1:$1, 0)) / SUM(INDEX(Volcado_Dist!$A:$ZZ, 0, MATCH(Q$2, Volcado_Dist!$1:$1, 0))), 0)</f>
        <v>0</v>
      </c>
      <c r="R107" s="16">
        <f>IFERROR(INDEX(Volcado_Dist!$A:$ZZ, MATCH($B107, Volcado_Dist!$A:$A, 0), MATCH(R$2, Volcado_Dist!$1:$1, 0)) / SUM(INDEX(Volcado_Dist!$A:$ZZ, 0, MATCH(R$2, Volcado_Dist!$1:$1, 0))), 0)</f>
        <v>0</v>
      </c>
      <c r="S107" s="16">
        <f>IFERROR(INDEX(Volcado_Dist!$A:$ZZ, MATCH($B107, Volcado_Dist!$A:$A, 0), MATCH(S$2, Volcado_Dist!$1:$1, 0)) / SUM(INDEX(Volcado_Dist!$A:$ZZ, 0, MATCH(S$2, Volcado_Dist!$1:$1, 0))), 0)</f>
        <v>0</v>
      </c>
      <c r="T107" s="16">
        <f>IFERROR(INDEX(Volcado_Dist!$A:$ZZ, MATCH($B107, Volcado_Dist!$A:$A, 0), MATCH(T$2, Volcado_Dist!$1:$1, 0)) / SUM(INDEX(Volcado_Dist!$A:$ZZ, 0, MATCH(T$2, Volcado_Dist!$1:$1, 0))), 0)</f>
        <v>0</v>
      </c>
      <c r="U107" s="16">
        <f>IFERROR(INDEX(Volcado_Dist!$A:$ZZ, MATCH($B107, Volcado_Dist!$A:$A, 0), MATCH(U$2, Volcado_Dist!$1:$1, 0)) / SUM(INDEX(Volcado_Dist!$A:$ZZ, 0, MATCH(U$2, Volcado_Dist!$1:$1, 0))), 0)</f>
        <v>0</v>
      </c>
      <c r="V107" s="16">
        <f>IFERROR(INDEX(Volcado_Dist!$A:$ZZ, MATCH($B107, Volcado_Dist!$A:$A, 0), MATCH(V$2, Volcado_Dist!$1:$1, 0)) / SUM(INDEX(Volcado_Dist!$A:$ZZ, 0, MATCH(V$2, Volcado_Dist!$1:$1, 0))), 0)</f>
        <v>0</v>
      </c>
      <c r="W107" s="16">
        <f t="shared" si="3"/>
        <v>-4.7306760828363711E-6</v>
      </c>
      <c r="X107" s="17">
        <f>IFERROR(SUM(_xlfn.XLOOKUP($B107, Volcado_Vend!$A:$A, Volcado_Vend!$C:$ZZ, 0)) / SUM(Volcado_Vend!$C:$ZZ), 0)</f>
        <v>2.0443265085116013E-3</v>
      </c>
      <c r="Y107" s="24">
        <f t="shared" si="2"/>
        <v>1.0197979162143824E-3</v>
      </c>
    </row>
    <row r="108" spans="2:25" x14ac:dyDescent="0.25">
      <c r="B108" s="15" t="s">
        <v>132</v>
      </c>
      <c r="C108" s="16">
        <f>IFERROR(INDEX(Volcado_Dist!$A:$ZZ, MATCH($B108, Volcado_Dist!$A:$A, 0), MATCH(C$2, Volcado_Dist!$1:$1, 0)) / SUM(INDEX(Volcado_Dist!$A:$ZZ, 0, MATCH(C$2, Volcado_Dist!$1:$1, 0))), 0)</f>
        <v>3.2361168619358801E-3</v>
      </c>
      <c r="D108" s="16">
        <f>IFERROR(INDEX(Volcado_Dist!$A:$ZZ, MATCH($B108, Volcado_Dist!$A:$A, 0), MATCH(D$2, Volcado_Dist!$1:$1, 0)) / SUM(INDEX(Volcado_Dist!$A:$ZZ, 0, MATCH(D$2, Volcado_Dist!$1:$1, 0))), 0)</f>
        <v>0</v>
      </c>
      <c r="E108" s="16">
        <f>IFERROR(INDEX(Volcado_Dist!$A:$ZZ, MATCH($B108, Volcado_Dist!$A:$A, 0), MATCH(E$2, Volcado_Dist!$1:$1, 0)) / SUM(INDEX(Volcado_Dist!$A:$ZZ, 0, MATCH(E$2, Volcado_Dist!$1:$1, 0))), 0)</f>
        <v>1.8204294555987026E-3</v>
      </c>
      <c r="F108" s="16">
        <f>IFERROR(INDEX(Volcado_Dist!$A:$ZZ, MATCH($B108, Volcado_Dist!$A:$A, 0), MATCH(F$2, Volcado_Dist!$1:$1, 0)) / SUM(INDEX(Volcado_Dist!$A:$ZZ, 0, MATCH(F$2, Volcado_Dist!$1:$1, 0))), 0)</f>
        <v>8.6438190677609762E-3</v>
      </c>
      <c r="G108" s="16">
        <f>IFERROR(INDEX(Volcado_Dist!$A:$ZZ, MATCH($B108, Volcado_Dist!$A:$A, 0), MATCH(G$2, Volcado_Dist!$1:$1, 0)) / SUM(INDEX(Volcado_Dist!$A:$ZZ, 0, MATCH(G$2, Volcado_Dist!$1:$1, 0))), 0)</f>
        <v>0</v>
      </c>
      <c r="H108" s="16">
        <f>IFERROR(INDEX(Volcado_Dist!$A:$ZZ, MATCH($B108, Volcado_Dist!$A:$A, 0), MATCH(H$2, Volcado_Dist!$1:$1, 0)) / SUM(INDEX(Volcado_Dist!$A:$ZZ, 0, MATCH(H$2, Volcado_Dist!$1:$1, 0))), 0)</f>
        <v>0</v>
      </c>
      <c r="I108" s="16">
        <f>IFERROR(INDEX(Volcado_Dist!$A:$ZZ, MATCH($B108, Volcado_Dist!$A:$A, 0), MATCH(I$2, Volcado_Dist!$1:$1, 0)) / SUM(INDEX(Volcado_Dist!$A:$ZZ, 0, MATCH(I$2, Volcado_Dist!$1:$1, 0))), 0)</f>
        <v>-2.1313734502344493E-3</v>
      </c>
      <c r="J108" s="16">
        <f>IFERROR(INDEX(Volcado_Dist!$A:$ZZ, MATCH($B108, Volcado_Dist!$A:$A, 0), MATCH(J$2, Volcado_Dist!$1:$1, 0)) / SUM(INDEX(Volcado_Dist!$A:$ZZ, 0, MATCH(J$2, Volcado_Dist!$1:$1, 0))), 0)</f>
        <v>0</v>
      </c>
      <c r="K108" s="16">
        <f>IFERROR(INDEX(Volcado_Dist!$A:$ZZ, MATCH($B108, Volcado_Dist!$A:$A, 0), MATCH(K$2, Volcado_Dist!$1:$1, 0)) / SUM(INDEX(Volcado_Dist!$A:$ZZ, 0, MATCH(K$2, Volcado_Dist!$1:$1, 0))), 0)</f>
        <v>2.5272704701030896E-3</v>
      </c>
      <c r="L108" s="16">
        <f>IFERROR(INDEX(Volcado_Dist!$A:$ZZ, MATCH($B108, Volcado_Dist!$A:$A, 0), MATCH(L$2, Volcado_Dist!$1:$1, 0)) / SUM(INDEX(Volcado_Dist!$A:$ZZ, 0, MATCH(L$2, Volcado_Dist!$1:$1, 0))), 0)</f>
        <v>8.101738918846E-3</v>
      </c>
      <c r="M108" s="16">
        <f>IFERROR(INDEX(Volcado_Dist!$A:$ZZ, MATCH($B108, Volcado_Dist!$A:$A, 0), MATCH(M$2, Volcado_Dist!$1:$1, 0)) / SUM(INDEX(Volcado_Dist!$A:$ZZ, 0, MATCH(M$2, Volcado_Dist!$1:$1, 0))), 0)</f>
        <v>-1.4675535797147194E-2</v>
      </c>
      <c r="N108" s="16">
        <f>IFERROR(INDEX(Volcado_Dist!$A:$ZZ, MATCH($B108, Volcado_Dist!$A:$A, 0), MATCH(N$2, Volcado_Dist!$1:$1, 0)) / SUM(INDEX(Volcado_Dist!$A:$ZZ, 0, MATCH(N$2, Volcado_Dist!$1:$1, 0))), 0)</f>
        <v>0</v>
      </c>
      <c r="O108" s="16">
        <f>IFERROR(INDEX(Volcado_Dist!$A:$ZZ, MATCH($B108, Volcado_Dist!$A:$A, 0), MATCH(O$2, Volcado_Dist!$1:$1, 0)) / SUM(INDEX(Volcado_Dist!$A:$ZZ, 0, MATCH(O$2, Volcado_Dist!$1:$1, 0))), 0)</f>
        <v>0</v>
      </c>
      <c r="P108" s="16">
        <f>IFERROR(INDEX(Volcado_Dist!$A:$ZZ, MATCH($B108, Volcado_Dist!$A:$A, 0), MATCH(P$2, Volcado_Dist!$1:$1, 0)) / SUM(INDEX(Volcado_Dist!$A:$ZZ, 0, MATCH(P$2, Volcado_Dist!$1:$1, 0))), 0)</f>
        <v>1.1399350786870802E-3</v>
      </c>
      <c r="Q108" s="16">
        <f>IFERROR(INDEX(Volcado_Dist!$A:$ZZ, MATCH($B108, Volcado_Dist!$A:$A, 0), MATCH(Q$2, Volcado_Dist!$1:$1, 0)) / SUM(INDEX(Volcado_Dist!$A:$ZZ, 0, MATCH(Q$2, Volcado_Dist!$1:$1, 0))), 0)</f>
        <v>4.5407480240898941E-4</v>
      </c>
      <c r="R108" s="16">
        <f>IFERROR(INDEX(Volcado_Dist!$A:$ZZ, MATCH($B108, Volcado_Dist!$A:$A, 0), MATCH(R$2, Volcado_Dist!$1:$1, 0)) / SUM(INDEX(Volcado_Dist!$A:$ZZ, 0, MATCH(R$2, Volcado_Dist!$1:$1, 0))), 0)</f>
        <v>0</v>
      </c>
      <c r="S108" s="16">
        <f>IFERROR(INDEX(Volcado_Dist!$A:$ZZ, MATCH($B108, Volcado_Dist!$A:$A, 0), MATCH(S$2, Volcado_Dist!$1:$1, 0)) / SUM(INDEX(Volcado_Dist!$A:$ZZ, 0, MATCH(S$2, Volcado_Dist!$1:$1, 0))), 0)</f>
        <v>3.6085439522037209E-3</v>
      </c>
      <c r="T108" s="16">
        <f>IFERROR(INDEX(Volcado_Dist!$A:$ZZ, MATCH($B108, Volcado_Dist!$A:$A, 0), MATCH(T$2, Volcado_Dist!$1:$1, 0)) / SUM(INDEX(Volcado_Dist!$A:$ZZ, 0, MATCH(T$2, Volcado_Dist!$1:$1, 0))), 0)</f>
        <v>1.012441881438981E-2</v>
      </c>
      <c r="U108" s="16">
        <f>IFERROR(INDEX(Volcado_Dist!$A:$ZZ, MATCH($B108, Volcado_Dist!$A:$A, 0), MATCH(U$2, Volcado_Dist!$1:$1, 0)) / SUM(INDEX(Volcado_Dist!$A:$ZZ, 0, MATCH(U$2, Volcado_Dist!$1:$1, 0))), 0)</f>
        <v>0</v>
      </c>
      <c r="V108" s="16">
        <f>IFERROR(INDEX(Volcado_Dist!$A:$ZZ, MATCH($B108, Volcado_Dist!$A:$A, 0), MATCH(V$2, Volcado_Dist!$1:$1, 0)) / SUM(INDEX(Volcado_Dist!$A:$ZZ, 0, MATCH(V$2, Volcado_Dist!$1:$1, 0))), 0)</f>
        <v>7.1100219757698887E-3</v>
      </c>
      <c r="W108" s="16">
        <f t="shared" si="3"/>
        <v>1.497973007516125E-3</v>
      </c>
      <c r="X108" s="17">
        <f>IFERROR(SUM(_xlfn.XLOOKUP($B108, Volcado_Vend!$A:$A, Volcado_Vend!$C:$ZZ, 0)) / SUM(Volcado_Vend!$C:$ZZ), 0)</f>
        <v>3.7933998264521422E-3</v>
      </c>
      <c r="Y108" s="24">
        <f t="shared" si="2"/>
        <v>2.6456864169841334E-3</v>
      </c>
    </row>
    <row r="109" spans="2:25" x14ac:dyDescent="0.25">
      <c r="B109" s="15" t="s">
        <v>133</v>
      </c>
      <c r="C109" s="16">
        <f>IFERROR(INDEX(Volcado_Dist!$A:$ZZ, MATCH($B109, Volcado_Dist!$A:$A, 0), MATCH(C$2, Volcado_Dist!$1:$1, 0)) / SUM(INDEX(Volcado_Dist!$A:$ZZ, 0, MATCH(C$2, Volcado_Dist!$1:$1, 0))), 0)</f>
        <v>2.2138992155067852E-3</v>
      </c>
      <c r="D109" s="16">
        <f>IFERROR(INDEX(Volcado_Dist!$A:$ZZ, MATCH($B109, Volcado_Dist!$A:$A, 0), MATCH(D$2, Volcado_Dist!$1:$1, 0)) / SUM(INDEX(Volcado_Dist!$A:$ZZ, 0, MATCH(D$2, Volcado_Dist!$1:$1, 0))), 0)</f>
        <v>0</v>
      </c>
      <c r="E109" s="16">
        <f>IFERROR(INDEX(Volcado_Dist!$A:$ZZ, MATCH($B109, Volcado_Dist!$A:$A, 0), MATCH(E$2, Volcado_Dist!$1:$1, 0)) / SUM(INDEX(Volcado_Dist!$A:$ZZ, 0, MATCH(E$2, Volcado_Dist!$1:$1, 0))), 0)</f>
        <v>4.4202152734637923E-3</v>
      </c>
      <c r="F109" s="16">
        <f>IFERROR(INDEX(Volcado_Dist!$A:$ZZ, MATCH($B109, Volcado_Dist!$A:$A, 0), MATCH(F$2, Volcado_Dist!$1:$1, 0)) / SUM(INDEX(Volcado_Dist!$A:$ZZ, 0, MATCH(F$2, Volcado_Dist!$1:$1, 0))), 0)</f>
        <v>2.1583502523333646E-3</v>
      </c>
      <c r="G109" s="16">
        <f>IFERROR(INDEX(Volcado_Dist!$A:$ZZ, MATCH($B109, Volcado_Dist!$A:$A, 0), MATCH(G$2, Volcado_Dist!$1:$1, 0)) / SUM(INDEX(Volcado_Dist!$A:$ZZ, 0, MATCH(G$2, Volcado_Dist!$1:$1, 0))), 0)</f>
        <v>0</v>
      </c>
      <c r="H109" s="16">
        <f>IFERROR(INDEX(Volcado_Dist!$A:$ZZ, MATCH($B109, Volcado_Dist!$A:$A, 0), MATCH(H$2, Volcado_Dist!$1:$1, 0)) / SUM(INDEX(Volcado_Dist!$A:$ZZ, 0, MATCH(H$2, Volcado_Dist!$1:$1, 0))), 0)</f>
        <v>0</v>
      </c>
      <c r="I109" s="16">
        <f>IFERROR(INDEX(Volcado_Dist!$A:$ZZ, MATCH($B109, Volcado_Dist!$A:$A, 0), MATCH(I$2, Volcado_Dist!$1:$1, 0)) / SUM(INDEX(Volcado_Dist!$A:$ZZ, 0, MATCH(I$2, Volcado_Dist!$1:$1, 0))), 0)</f>
        <v>-1.5070767567692899E-4</v>
      </c>
      <c r="J109" s="16">
        <f>IFERROR(INDEX(Volcado_Dist!$A:$ZZ, MATCH($B109, Volcado_Dist!$A:$A, 0), MATCH(J$2, Volcado_Dist!$1:$1, 0)) / SUM(INDEX(Volcado_Dist!$A:$ZZ, 0, MATCH(J$2, Volcado_Dist!$1:$1, 0))), 0)</f>
        <v>0</v>
      </c>
      <c r="K109" s="16">
        <f>IFERROR(INDEX(Volcado_Dist!$A:$ZZ, MATCH($B109, Volcado_Dist!$A:$A, 0), MATCH(K$2, Volcado_Dist!$1:$1, 0)) / SUM(INDEX(Volcado_Dist!$A:$ZZ, 0, MATCH(K$2, Volcado_Dist!$1:$1, 0))), 0)</f>
        <v>2.5800256194935924E-3</v>
      </c>
      <c r="L109" s="16">
        <f>IFERROR(INDEX(Volcado_Dist!$A:$ZZ, MATCH($B109, Volcado_Dist!$A:$A, 0), MATCH(L$2, Volcado_Dist!$1:$1, 0)) / SUM(INDEX(Volcado_Dist!$A:$ZZ, 0, MATCH(L$2, Volcado_Dist!$1:$1, 0))), 0)</f>
        <v>2.7032613853349278E-3</v>
      </c>
      <c r="M109" s="16">
        <f>IFERROR(INDEX(Volcado_Dist!$A:$ZZ, MATCH($B109, Volcado_Dist!$A:$A, 0), MATCH(M$2, Volcado_Dist!$1:$1, 0)) / SUM(INDEX(Volcado_Dist!$A:$ZZ, 0, MATCH(M$2, Volcado_Dist!$1:$1, 0))), 0)</f>
        <v>-7.0537810909067605E-4</v>
      </c>
      <c r="N109" s="16">
        <f>IFERROR(INDEX(Volcado_Dist!$A:$ZZ, MATCH($B109, Volcado_Dist!$A:$A, 0), MATCH(N$2, Volcado_Dist!$1:$1, 0)) / SUM(INDEX(Volcado_Dist!$A:$ZZ, 0, MATCH(N$2, Volcado_Dist!$1:$1, 0))), 0)</f>
        <v>0</v>
      </c>
      <c r="O109" s="16">
        <f>IFERROR(INDEX(Volcado_Dist!$A:$ZZ, MATCH($B109, Volcado_Dist!$A:$A, 0), MATCH(O$2, Volcado_Dist!$1:$1, 0)) / SUM(INDEX(Volcado_Dist!$A:$ZZ, 0, MATCH(O$2, Volcado_Dist!$1:$1, 0))), 0)</f>
        <v>0</v>
      </c>
      <c r="P109" s="16">
        <f>IFERROR(INDEX(Volcado_Dist!$A:$ZZ, MATCH($B109, Volcado_Dist!$A:$A, 0), MATCH(P$2, Volcado_Dist!$1:$1, 0)) / SUM(INDEX(Volcado_Dist!$A:$ZZ, 0, MATCH(P$2, Volcado_Dist!$1:$1, 0))), 0)</f>
        <v>3.2567883336008367E-3</v>
      </c>
      <c r="Q109" s="16">
        <f>IFERROR(INDEX(Volcado_Dist!$A:$ZZ, MATCH($B109, Volcado_Dist!$A:$A, 0), MATCH(Q$2, Volcado_Dist!$1:$1, 0)) / SUM(INDEX(Volcado_Dist!$A:$ZZ, 0, MATCH(Q$2, Volcado_Dist!$1:$1, 0))), 0)</f>
        <v>2.437425052267417E-3</v>
      </c>
      <c r="R109" s="16">
        <f>IFERROR(INDEX(Volcado_Dist!$A:$ZZ, MATCH($B109, Volcado_Dist!$A:$A, 0), MATCH(R$2, Volcado_Dist!$1:$1, 0)) / SUM(INDEX(Volcado_Dist!$A:$ZZ, 0, MATCH(R$2, Volcado_Dist!$1:$1, 0))), 0)</f>
        <v>0</v>
      </c>
      <c r="S109" s="16">
        <f>IFERROR(INDEX(Volcado_Dist!$A:$ZZ, MATCH($B109, Volcado_Dist!$A:$A, 0), MATCH(S$2, Volcado_Dist!$1:$1, 0)) / SUM(INDEX(Volcado_Dist!$A:$ZZ, 0, MATCH(S$2, Volcado_Dist!$1:$1, 0))), 0)</f>
        <v>1.6288083877794377E-3</v>
      </c>
      <c r="T109" s="16">
        <f>IFERROR(INDEX(Volcado_Dist!$A:$ZZ, MATCH($B109, Volcado_Dist!$A:$A, 0), MATCH(T$2, Volcado_Dist!$1:$1, 0)) / SUM(INDEX(Volcado_Dist!$A:$ZZ, 0, MATCH(T$2, Volcado_Dist!$1:$1, 0))), 0)</f>
        <v>2.085993335466718E-4</v>
      </c>
      <c r="U109" s="16">
        <f>IFERROR(INDEX(Volcado_Dist!$A:$ZZ, MATCH($B109, Volcado_Dist!$A:$A, 0), MATCH(U$2, Volcado_Dist!$1:$1, 0)) / SUM(INDEX(Volcado_Dist!$A:$ZZ, 0, MATCH(U$2, Volcado_Dist!$1:$1, 0))), 0)</f>
        <v>2.9792908632278394E-4</v>
      </c>
      <c r="V109" s="16">
        <f>IFERROR(INDEX(Volcado_Dist!$A:$ZZ, MATCH($B109, Volcado_Dist!$A:$A, 0), MATCH(V$2, Volcado_Dist!$1:$1, 0)) / SUM(INDEX(Volcado_Dist!$A:$ZZ, 0, MATCH(V$2, Volcado_Dist!$1:$1, 0))), 0)</f>
        <v>9.1891271070820195E-4</v>
      </c>
      <c r="W109" s="16">
        <f t="shared" si="3"/>
        <v>1.0984064432795104E-3</v>
      </c>
      <c r="X109" s="17">
        <f>IFERROR(SUM(_xlfn.XLOOKUP($B109, Volcado_Vend!$A:$A, Volcado_Vend!$C:$ZZ, 0)) / SUM(Volcado_Vend!$C:$ZZ), 0)</f>
        <v>3.5921618679529382E-3</v>
      </c>
      <c r="Y109" s="24">
        <f t="shared" si="2"/>
        <v>2.3452841556162243E-3</v>
      </c>
    </row>
    <row r="110" spans="2:25" x14ac:dyDescent="0.25">
      <c r="B110" s="15" t="s">
        <v>134</v>
      </c>
      <c r="C110" s="16">
        <f>IFERROR(INDEX(Volcado_Dist!$A:$ZZ, MATCH($B110, Volcado_Dist!$A:$A, 0), MATCH(C$2, Volcado_Dist!$1:$1, 0)) / SUM(INDEX(Volcado_Dist!$A:$ZZ, 0, MATCH(C$2, Volcado_Dist!$1:$1, 0))), 0)</f>
        <v>0</v>
      </c>
      <c r="D110" s="16">
        <f>IFERROR(INDEX(Volcado_Dist!$A:$ZZ, MATCH($B110, Volcado_Dist!$A:$A, 0), MATCH(D$2, Volcado_Dist!$1:$1, 0)) / SUM(INDEX(Volcado_Dist!$A:$ZZ, 0, MATCH(D$2, Volcado_Dist!$1:$1, 0))), 0)</f>
        <v>0</v>
      </c>
      <c r="E110" s="16">
        <f>IFERROR(INDEX(Volcado_Dist!$A:$ZZ, MATCH($B110, Volcado_Dist!$A:$A, 0), MATCH(E$2, Volcado_Dist!$1:$1, 0)) / SUM(INDEX(Volcado_Dist!$A:$ZZ, 0, MATCH(E$2, Volcado_Dist!$1:$1, 0))), 0)</f>
        <v>0</v>
      </c>
      <c r="F110" s="16">
        <f>IFERROR(INDEX(Volcado_Dist!$A:$ZZ, MATCH($B110, Volcado_Dist!$A:$A, 0), MATCH(F$2, Volcado_Dist!$1:$1, 0)) / SUM(INDEX(Volcado_Dist!$A:$ZZ, 0, MATCH(F$2, Volcado_Dist!$1:$1, 0))), 0)</f>
        <v>0</v>
      </c>
      <c r="G110" s="16">
        <f>IFERROR(INDEX(Volcado_Dist!$A:$ZZ, MATCH($B110, Volcado_Dist!$A:$A, 0), MATCH(G$2, Volcado_Dist!$1:$1, 0)) / SUM(INDEX(Volcado_Dist!$A:$ZZ, 0, MATCH(G$2, Volcado_Dist!$1:$1, 0))), 0)</f>
        <v>0</v>
      </c>
      <c r="H110" s="16">
        <f>IFERROR(INDEX(Volcado_Dist!$A:$ZZ, MATCH($B110, Volcado_Dist!$A:$A, 0), MATCH(H$2, Volcado_Dist!$1:$1, 0)) / SUM(INDEX(Volcado_Dist!$A:$ZZ, 0, MATCH(H$2, Volcado_Dist!$1:$1, 0))), 0)</f>
        <v>0</v>
      </c>
      <c r="I110" s="16">
        <f>IFERROR(INDEX(Volcado_Dist!$A:$ZZ, MATCH($B110, Volcado_Dist!$A:$A, 0), MATCH(I$2, Volcado_Dist!$1:$1, 0)) / SUM(INDEX(Volcado_Dist!$A:$ZZ, 0, MATCH(I$2, Volcado_Dist!$1:$1, 0))), 0)</f>
        <v>-4.2902511076881984E-5</v>
      </c>
      <c r="J110" s="16">
        <f>IFERROR(INDEX(Volcado_Dist!$A:$ZZ, MATCH($B110, Volcado_Dist!$A:$A, 0), MATCH(J$2, Volcado_Dist!$1:$1, 0)) / SUM(INDEX(Volcado_Dist!$A:$ZZ, 0, MATCH(J$2, Volcado_Dist!$1:$1, 0))), 0)</f>
        <v>0</v>
      </c>
      <c r="K110" s="16">
        <f>IFERROR(INDEX(Volcado_Dist!$A:$ZZ, MATCH($B110, Volcado_Dist!$A:$A, 0), MATCH(K$2, Volcado_Dist!$1:$1, 0)) / SUM(INDEX(Volcado_Dist!$A:$ZZ, 0, MATCH(K$2, Volcado_Dist!$1:$1, 0))), 0)</f>
        <v>3.4957971053589308E-5</v>
      </c>
      <c r="L110" s="16">
        <f>IFERROR(INDEX(Volcado_Dist!$A:$ZZ, MATCH($B110, Volcado_Dist!$A:$A, 0), MATCH(L$2, Volcado_Dist!$1:$1, 0)) / SUM(INDEX(Volcado_Dist!$A:$ZZ, 0, MATCH(L$2, Volcado_Dist!$1:$1, 0))), 0)</f>
        <v>0</v>
      </c>
      <c r="M110" s="16">
        <f>IFERROR(INDEX(Volcado_Dist!$A:$ZZ, MATCH($B110, Volcado_Dist!$A:$A, 0), MATCH(M$2, Volcado_Dist!$1:$1, 0)) / SUM(INDEX(Volcado_Dist!$A:$ZZ, 0, MATCH(M$2, Volcado_Dist!$1:$1, 0))), 0)</f>
        <v>0</v>
      </c>
      <c r="N110" s="16">
        <f>IFERROR(INDEX(Volcado_Dist!$A:$ZZ, MATCH($B110, Volcado_Dist!$A:$A, 0), MATCH(N$2, Volcado_Dist!$1:$1, 0)) / SUM(INDEX(Volcado_Dist!$A:$ZZ, 0, MATCH(N$2, Volcado_Dist!$1:$1, 0))), 0)</f>
        <v>0</v>
      </c>
      <c r="O110" s="16">
        <f>IFERROR(INDEX(Volcado_Dist!$A:$ZZ, MATCH($B110, Volcado_Dist!$A:$A, 0), MATCH(O$2, Volcado_Dist!$1:$1, 0)) / SUM(INDEX(Volcado_Dist!$A:$ZZ, 0, MATCH(O$2, Volcado_Dist!$1:$1, 0))), 0)</f>
        <v>0</v>
      </c>
      <c r="P110" s="16">
        <f>IFERROR(INDEX(Volcado_Dist!$A:$ZZ, MATCH($B110, Volcado_Dist!$A:$A, 0), MATCH(P$2, Volcado_Dist!$1:$1, 0)) / SUM(INDEX(Volcado_Dist!$A:$ZZ, 0, MATCH(P$2, Volcado_Dist!$1:$1, 0))), 0)</f>
        <v>1.6734373577016397E-5</v>
      </c>
      <c r="Q110" s="16">
        <f>IFERROR(INDEX(Volcado_Dist!$A:$ZZ, MATCH($B110, Volcado_Dist!$A:$A, 0), MATCH(Q$2, Volcado_Dist!$1:$1, 0)) / SUM(INDEX(Volcado_Dist!$A:$ZZ, 0, MATCH(Q$2, Volcado_Dist!$1:$1, 0))), 0)</f>
        <v>0</v>
      </c>
      <c r="R110" s="16">
        <f>IFERROR(INDEX(Volcado_Dist!$A:$ZZ, MATCH($B110, Volcado_Dist!$A:$A, 0), MATCH(R$2, Volcado_Dist!$1:$1, 0)) / SUM(INDEX(Volcado_Dist!$A:$ZZ, 0, MATCH(R$2, Volcado_Dist!$1:$1, 0))), 0)</f>
        <v>0</v>
      </c>
      <c r="S110" s="16">
        <f>IFERROR(INDEX(Volcado_Dist!$A:$ZZ, MATCH($B110, Volcado_Dist!$A:$A, 0), MATCH(S$2, Volcado_Dist!$1:$1, 0)) / SUM(INDEX(Volcado_Dist!$A:$ZZ, 0, MATCH(S$2, Volcado_Dist!$1:$1, 0))), 0)</f>
        <v>0</v>
      </c>
      <c r="T110" s="16">
        <f>IFERROR(INDEX(Volcado_Dist!$A:$ZZ, MATCH($B110, Volcado_Dist!$A:$A, 0), MATCH(T$2, Volcado_Dist!$1:$1, 0)) / SUM(INDEX(Volcado_Dist!$A:$ZZ, 0, MATCH(T$2, Volcado_Dist!$1:$1, 0))), 0)</f>
        <v>0</v>
      </c>
      <c r="U110" s="16">
        <f>IFERROR(INDEX(Volcado_Dist!$A:$ZZ, MATCH($B110, Volcado_Dist!$A:$A, 0), MATCH(U$2, Volcado_Dist!$1:$1, 0)) / SUM(INDEX(Volcado_Dist!$A:$ZZ, 0, MATCH(U$2, Volcado_Dist!$1:$1, 0))), 0)</f>
        <v>0</v>
      </c>
      <c r="V110" s="16">
        <f>IFERROR(INDEX(Volcado_Dist!$A:$ZZ, MATCH($B110, Volcado_Dist!$A:$A, 0), MATCH(V$2, Volcado_Dist!$1:$1, 0)) / SUM(INDEX(Volcado_Dist!$A:$ZZ, 0, MATCH(V$2, Volcado_Dist!$1:$1, 0))), 0)</f>
        <v>0</v>
      </c>
      <c r="W110" s="16">
        <f t="shared" si="3"/>
        <v>4.3949167768618612E-7</v>
      </c>
      <c r="X110" s="17">
        <f>IFERROR(SUM(_xlfn.XLOOKUP($B110, Volcado_Vend!$A:$A, Volcado_Vend!$C:$ZZ, 0)) / SUM(Volcado_Vend!$C:$ZZ), 0)</f>
        <v>0</v>
      </c>
      <c r="Y110" s="24">
        <f t="shared" si="2"/>
        <v>2.1974583884309306E-7</v>
      </c>
    </row>
    <row r="111" spans="2:25" x14ac:dyDescent="0.25">
      <c r="B111" s="15" t="s">
        <v>135</v>
      </c>
      <c r="C111" s="16">
        <f>IFERROR(INDEX(Volcado_Dist!$A:$ZZ, MATCH($B111, Volcado_Dist!$A:$A, 0), MATCH(C$2, Volcado_Dist!$1:$1, 0)) / SUM(INDEX(Volcado_Dist!$A:$ZZ, 0, MATCH(C$2, Volcado_Dist!$1:$1, 0))), 0)</f>
        <v>6.0360725596601758E-3</v>
      </c>
      <c r="D111" s="16">
        <f>IFERROR(INDEX(Volcado_Dist!$A:$ZZ, MATCH($B111, Volcado_Dist!$A:$A, 0), MATCH(D$2, Volcado_Dist!$1:$1, 0)) / SUM(INDEX(Volcado_Dist!$A:$ZZ, 0, MATCH(D$2, Volcado_Dist!$1:$1, 0))), 0)</f>
        <v>0</v>
      </c>
      <c r="E111" s="16">
        <f>IFERROR(INDEX(Volcado_Dist!$A:$ZZ, MATCH($B111, Volcado_Dist!$A:$A, 0), MATCH(E$2, Volcado_Dist!$1:$1, 0)) / SUM(INDEX(Volcado_Dist!$A:$ZZ, 0, MATCH(E$2, Volcado_Dist!$1:$1, 0))), 0)</f>
        <v>6.9292662548634822E-4</v>
      </c>
      <c r="F111" s="16">
        <f>IFERROR(INDEX(Volcado_Dist!$A:$ZZ, MATCH($B111, Volcado_Dist!$A:$A, 0), MATCH(F$2, Volcado_Dist!$1:$1, 0)) / SUM(INDEX(Volcado_Dist!$A:$ZZ, 0, MATCH(F$2, Volcado_Dist!$1:$1, 0))), 0)</f>
        <v>5.5348675206233306E-3</v>
      </c>
      <c r="G111" s="16">
        <f>IFERROR(INDEX(Volcado_Dist!$A:$ZZ, MATCH($B111, Volcado_Dist!$A:$A, 0), MATCH(G$2, Volcado_Dist!$1:$1, 0)) / SUM(INDEX(Volcado_Dist!$A:$ZZ, 0, MATCH(G$2, Volcado_Dist!$1:$1, 0))), 0)</f>
        <v>0</v>
      </c>
      <c r="H111" s="16">
        <f>IFERROR(INDEX(Volcado_Dist!$A:$ZZ, MATCH($B111, Volcado_Dist!$A:$A, 0), MATCH(H$2, Volcado_Dist!$1:$1, 0)) / SUM(INDEX(Volcado_Dist!$A:$ZZ, 0, MATCH(H$2, Volcado_Dist!$1:$1, 0))), 0)</f>
        <v>0</v>
      </c>
      <c r="I111" s="16">
        <f>IFERROR(INDEX(Volcado_Dist!$A:$ZZ, MATCH($B111, Volcado_Dist!$A:$A, 0), MATCH(I$2, Volcado_Dist!$1:$1, 0)) / SUM(INDEX(Volcado_Dist!$A:$ZZ, 0, MATCH(I$2, Volcado_Dist!$1:$1, 0))), 0)</f>
        <v>1.0613843635014187E-2</v>
      </c>
      <c r="J111" s="16">
        <f>IFERROR(INDEX(Volcado_Dist!$A:$ZZ, MATCH($B111, Volcado_Dist!$A:$A, 0), MATCH(J$2, Volcado_Dist!$1:$1, 0)) / SUM(INDEX(Volcado_Dist!$A:$ZZ, 0, MATCH(J$2, Volcado_Dist!$1:$1, 0))), 0)</f>
        <v>0</v>
      </c>
      <c r="K111" s="16">
        <f>IFERROR(INDEX(Volcado_Dist!$A:$ZZ, MATCH($B111, Volcado_Dist!$A:$A, 0), MATCH(K$2, Volcado_Dist!$1:$1, 0)) / SUM(INDEX(Volcado_Dist!$A:$ZZ, 0, MATCH(K$2, Volcado_Dist!$1:$1, 0))), 0)</f>
        <v>3.8351466910323886E-3</v>
      </c>
      <c r="L111" s="16">
        <f>IFERROR(INDEX(Volcado_Dist!$A:$ZZ, MATCH($B111, Volcado_Dist!$A:$A, 0), MATCH(L$2, Volcado_Dist!$1:$1, 0)) / SUM(INDEX(Volcado_Dist!$A:$ZZ, 0, MATCH(L$2, Volcado_Dist!$1:$1, 0))), 0)</f>
        <v>1.6492405639879175E-3</v>
      </c>
      <c r="M111" s="16">
        <f>IFERROR(INDEX(Volcado_Dist!$A:$ZZ, MATCH($B111, Volcado_Dist!$A:$A, 0), MATCH(M$2, Volcado_Dist!$1:$1, 0)) / SUM(INDEX(Volcado_Dist!$A:$ZZ, 0, MATCH(M$2, Volcado_Dist!$1:$1, 0))), 0)</f>
        <v>6.2443308017863138E-3</v>
      </c>
      <c r="N111" s="16">
        <f>IFERROR(INDEX(Volcado_Dist!$A:$ZZ, MATCH($B111, Volcado_Dist!$A:$A, 0), MATCH(N$2, Volcado_Dist!$1:$1, 0)) / SUM(INDEX(Volcado_Dist!$A:$ZZ, 0, MATCH(N$2, Volcado_Dist!$1:$1, 0))), 0)</f>
        <v>0</v>
      </c>
      <c r="O111" s="16">
        <f>IFERROR(INDEX(Volcado_Dist!$A:$ZZ, MATCH($B111, Volcado_Dist!$A:$A, 0), MATCH(O$2, Volcado_Dist!$1:$1, 0)) / SUM(INDEX(Volcado_Dist!$A:$ZZ, 0, MATCH(O$2, Volcado_Dist!$1:$1, 0))), 0)</f>
        <v>1.9268839237029413E-2</v>
      </c>
      <c r="P111" s="16">
        <f>IFERROR(INDEX(Volcado_Dist!$A:$ZZ, MATCH($B111, Volcado_Dist!$A:$A, 0), MATCH(P$2, Volcado_Dist!$1:$1, 0)) / SUM(INDEX(Volcado_Dist!$A:$ZZ, 0, MATCH(P$2, Volcado_Dist!$1:$1, 0))), 0)</f>
        <v>5.4888745332613799E-3</v>
      </c>
      <c r="Q111" s="16">
        <f>IFERROR(INDEX(Volcado_Dist!$A:$ZZ, MATCH($B111, Volcado_Dist!$A:$A, 0), MATCH(Q$2, Volcado_Dist!$1:$1, 0)) / SUM(INDEX(Volcado_Dist!$A:$ZZ, 0, MATCH(Q$2, Volcado_Dist!$1:$1, 0))), 0)</f>
        <v>7.3333080589051787E-3</v>
      </c>
      <c r="R111" s="16">
        <f>IFERROR(INDEX(Volcado_Dist!$A:$ZZ, MATCH($B111, Volcado_Dist!$A:$A, 0), MATCH(R$2, Volcado_Dist!$1:$1, 0)) / SUM(INDEX(Volcado_Dist!$A:$ZZ, 0, MATCH(R$2, Volcado_Dist!$1:$1, 0))), 0)</f>
        <v>0</v>
      </c>
      <c r="S111" s="16">
        <f>IFERROR(INDEX(Volcado_Dist!$A:$ZZ, MATCH($B111, Volcado_Dist!$A:$A, 0), MATCH(S$2, Volcado_Dist!$1:$1, 0)) / SUM(INDEX(Volcado_Dist!$A:$ZZ, 0, MATCH(S$2, Volcado_Dist!$1:$1, 0))), 0)</f>
        <v>2.6803490153920354E-4</v>
      </c>
      <c r="T111" s="16">
        <f>IFERROR(INDEX(Volcado_Dist!$A:$ZZ, MATCH($B111, Volcado_Dist!$A:$A, 0), MATCH(T$2, Volcado_Dist!$1:$1, 0)) / SUM(INDEX(Volcado_Dist!$A:$ZZ, 0, MATCH(T$2, Volcado_Dist!$1:$1, 0))), 0)</f>
        <v>6.4875949444459322E-3</v>
      </c>
      <c r="U111" s="16">
        <f>IFERROR(INDEX(Volcado_Dist!$A:$ZZ, MATCH($B111, Volcado_Dist!$A:$A, 0), MATCH(U$2, Volcado_Dist!$1:$1, 0)) / SUM(INDEX(Volcado_Dist!$A:$ZZ, 0, MATCH(U$2, Volcado_Dist!$1:$1, 0))), 0)</f>
        <v>0</v>
      </c>
      <c r="V111" s="16">
        <f>IFERROR(INDEX(Volcado_Dist!$A:$ZZ, MATCH($B111, Volcado_Dist!$A:$A, 0), MATCH(V$2, Volcado_Dist!$1:$1, 0)) / SUM(INDEX(Volcado_Dist!$A:$ZZ, 0, MATCH(V$2, Volcado_Dist!$1:$1, 0))), 0)</f>
        <v>3.8416479776704196E-3</v>
      </c>
      <c r="W111" s="16">
        <f t="shared" si="3"/>
        <v>3.86473640252211E-3</v>
      </c>
      <c r="X111" s="17">
        <f>IFERROR(SUM(_xlfn.XLOOKUP($B111, Volcado_Vend!$A:$A, Volcado_Vend!$C:$ZZ, 0)) / SUM(Volcado_Vend!$C:$ZZ), 0)</f>
        <v>3.0233406712604598E-3</v>
      </c>
      <c r="Y111" s="24">
        <f t="shared" si="2"/>
        <v>3.4440385368912849E-3</v>
      </c>
    </row>
    <row r="112" spans="2:25" x14ac:dyDescent="0.25">
      <c r="B112" s="15" t="s">
        <v>136</v>
      </c>
      <c r="C112" s="16">
        <f>IFERROR(INDEX(Volcado_Dist!$A:$ZZ, MATCH($B112, Volcado_Dist!$A:$A, 0), MATCH(C$2, Volcado_Dist!$1:$1, 0)) / SUM(INDEX(Volcado_Dist!$A:$ZZ, 0, MATCH(C$2, Volcado_Dist!$1:$1, 0))), 0)</f>
        <v>1.8473735406204395E-2</v>
      </c>
      <c r="D112" s="16">
        <f>IFERROR(INDEX(Volcado_Dist!$A:$ZZ, MATCH($B112, Volcado_Dist!$A:$A, 0), MATCH(D$2, Volcado_Dist!$1:$1, 0)) / SUM(INDEX(Volcado_Dist!$A:$ZZ, 0, MATCH(D$2, Volcado_Dist!$1:$1, 0))), 0)</f>
        <v>0</v>
      </c>
      <c r="E112" s="16">
        <f>IFERROR(INDEX(Volcado_Dist!$A:$ZZ, MATCH($B112, Volcado_Dist!$A:$A, 0), MATCH(E$2, Volcado_Dist!$1:$1, 0)) / SUM(INDEX(Volcado_Dist!$A:$ZZ, 0, MATCH(E$2, Volcado_Dist!$1:$1, 0))), 0)</f>
        <v>2.0163672261215612E-2</v>
      </c>
      <c r="F112" s="16">
        <f>IFERROR(INDEX(Volcado_Dist!$A:$ZZ, MATCH($B112, Volcado_Dist!$A:$A, 0), MATCH(F$2, Volcado_Dist!$1:$1, 0)) / SUM(INDEX(Volcado_Dist!$A:$ZZ, 0, MATCH(F$2, Volcado_Dist!$1:$1, 0))), 0)</f>
        <v>2.5922305189821106E-2</v>
      </c>
      <c r="G112" s="16">
        <f>IFERROR(INDEX(Volcado_Dist!$A:$ZZ, MATCH($B112, Volcado_Dist!$A:$A, 0), MATCH(G$2, Volcado_Dist!$1:$1, 0)) / SUM(INDEX(Volcado_Dist!$A:$ZZ, 0, MATCH(G$2, Volcado_Dist!$1:$1, 0))), 0)</f>
        <v>0</v>
      </c>
      <c r="H112" s="16">
        <f>IFERROR(INDEX(Volcado_Dist!$A:$ZZ, MATCH($B112, Volcado_Dist!$A:$A, 0), MATCH(H$2, Volcado_Dist!$1:$1, 0)) / SUM(INDEX(Volcado_Dist!$A:$ZZ, 0, MATCH(H$2, Volcado_Dist!$1:$1, 0))), 0)</f>
        <v>0</v>
      </c>
      <c r="I112" s="16">
        <f>IFERROR(INDEX(Volcado_Dist!$A:$ZZ, MATCH($B112, Volcado_Dist!$A:$A, 0), MATCH(I$2, Volcado_Dist!$1:$1, 0)) / SUM(INDEX(Volcado_Dist!$A:$ZZ, 0, MATCH(I$2, Volcado_Dist!$1:$1, 0))), 0)</f>
        <v>3.7861026271156256E-2</v>
      </c>
      <c r="J112" s="16">
        <f>IFERROR(INDEX(Volcado_Dist!$A:$ZZ, MATCH($B112, Volcado_Dist!$A:$A, 0), MATCH(J$2, Volcado_Dist!$1:$1, 0)) / SUM(INDEX(Volcado_Dist!$A:$ZZ, 0, MATCH(J$2, Volcado_Dist!$1:$1, 0))), 0)</f>
        <v>0</v>
      </c>
      <c r="K112" s="16">
        <f>IFERROR(INDEX(Volcado_Dist!$A:$ZZ, MATCH($B112, Volcado_Dist!$A:$A, 0), MATCH(K$2, Volcado_Dist!$1:$1, 0)) / SUM(INDEX(Volcado_Dist!$A:$ZZ, 0, MATCH(K$2, Volcado_Dist!$1:$1, 0))), 0)</f>
        <v>1.7999461701882973E-2</v>
      </c>
      <c r="L112" s="16">
        <f>IFERROR(INDEX(Volcado_Dist!$A:$ZZ, MATCH($B112, Volcado_Dist!$A:$A, 0), MATCH(L$2, Volcado_Dist!$1:$1, 0)) / SUM(INDEX(Volcado_Dist!$A:$ZZ, 0, MATCH(L$2, Volcado_Dist!$1:$1, 0))), 0)</f>
        <v>2.2560601239193078E-2</v>
      </c>
      <c r="M112" s="16">
        <f>IFERROR(INDEX(Volcado_Dist!$A:$ZZ, MATCH($B112, Volcado_Dist!$A:$A, 0), MATCH(M$2, Volcado_Dist!$1:$1, 0)) / SUM(INDEX(Volcado_Dist!$A:$ZZ, 0, MATCH(M$2, Volcado_Dist!$1:$1, 0))), 0)</f>
        <v>4.177972411124483E-2</v>
      </c>
      <c r="N112" s="16">
        <f>IFERROR(INDEX(Volcado_Dist!$A:$ZZ, MATCH($B112, Volcado_Dist!$A:$A, 0), MATCH(N$2, Volcado_Dist!$1:$1, 0)) / SUM(INDEX(Volcado_Dist!$A:$ZZ, 0, MATCH(N$2, Volcado_Dist!$1:$1, 0))), 0)</f>
        <v>0</v>
      </c>
      <c r="O112" s="16">
        <f>IFERROR(INDEX(Volcado_Dist!$A:$ZZ, MATCH($B112, Volcado_Dist!$A:$A, 0), MATCH(O$2, Volcado_Dist!$1:$1, 0)) / SUM(INDEX(Volcado_Dist!$A:$ZZ, 0, MATCH(O$2, Volcado_Dist!$1:$1, 0))), 0)</f>
        <v>1.387064358510323E-2</v>
      </c>
      <c r="P112" s="16">
        <f>IFERROR(INDEX(Volcado_Dist!$A:$ZZ, MATCH($B112, Volcado_Dist!$A:$A, 0), MATCH(P$2, Volcado_Dist!$1:$1, 0)) / SUM(INDEX(Volcado_Dist!$A:$ZZ, 0, MATCH(P$2, Volcado_Dist!$1:$1, 0))), 0)</f>
        <v>2.0885681462652204E-2</v>
      </c>
      <c r="Q112" s="16">
        <f>IFERROR(INDEX(Volcado_Dist!$A:$ZZ, MATCH($B112, Volcado_Dist!$A:$A, 0), MATCH(Q$2, Volcado_Dist!$1:$1, 0)) / SUM(INDEX(Volcado_Dist!$A:$ZZ, 0, MATCH(Q$2, Volcado_Dist!$1:$1, 0))), 0)</f>
        <v>2.0250222604766232E-2</v>
      </c>
      <c r="R112" s="16">
        <f>IFERROR(INDEX(Volcado_Dist!$A:$ZZ, MATCH($B112, Volcado_Dist!$A:$A, 0), MATCH(R$2, Volcado_Dist!$1:$1, 0)) / SUM(INDEX(Volcado_Dist!$A:$ZZ, 0, MATCH(R$2, Volcado_Dist!$1:$1, 0))), 0)</f>
        <v>0</v>
      </c>
      <c r="S112" s="16">
        <f>IFERROR(INDEX(Volcado_Dist!$A:$ZZ, MATCH($B112, Volcado_Dist!$A:$A, 0), MATCH(S$2, Volcado_Dist!$1:$1, 0)) / SUM(INDEX(Volcado_Dist!$A:$ZZ, 0, MATCH(S$2, Volcado_Dist!$1:$1, 0))), 0)</f>
        <v>1.4453533885037164E-2</v>
      </c>
      <c r="T112" s="16">
        <f>IFERROR(INDEX(Volcado_Dist!$A:$ZZ, MATCH($B112, Volcado_Dist!$A:$A, 0), MATCH(T$2, Volcado_Dist!$1:$1, 0)) / SUM(INDEX(Volcado_Dist!$A:$ZZ, 0, MATCH(T$2, Volcado_Dist!$1:$1, 0))), 0)</f>
        <v>7.3428961278729055E-2</v>
      </c>
      <c r="U112" s="16">
        <f>IFERROR(INDEX(Volcado_Dist!$A:$ZZ, MATCH($B112, Volcado_Dist!$A:$A, 0), MATCH(U$2, Volcado_Dist!$1:$1, 0)) / SUM(INDEX(Volcado_Dist!$A:$ZZ, 0, MATCH(U$2, Volcado_Dist!$1:$1, 0))), 0)</f>
        <v>-4.6730179117573144E-3</v>
      </c>
      <c r="V112" s="16">
        <f>IFERROR(INDEX(Volcado_Dist!$A:$ZZ, MATCH($B112, Volcado_Dist!$A:$A, 0), MATCH(V$2, Volcado_Dist!$1:$1, 0)) / SUM(INDEX(Volcado_Dist!$A:$ZZ, 0, MATCH(V$2, Volcado_Dist!$1:$1, 0))), 0)</f>
        <v>1.4696971325684958E-2</v>
      </c>
      <c r="W112" s="16">
        <f t="shared" si="3"/>
        <v>1.6883676120546691E-2</v>
      </c>
      <c r="X112" s="17">
        <f>IFERROR(SUM(_xlfn.XLOOKUP($B112, Volcado_Vend!$A:$A, Volcado_Vend!$C:$ZZ, 0)) / SUM(Volcado_Vend!$C:$ZZ), 0)</f>
        <v>5.5922411958980933E-3</v>
      </c>
      <c r="Y112" s="24">
        <f t="shared" si="2"/>
        <v>1.1237958658222393E-2</v>
      </c>
    </row>
    <row r="113" spans="2:25" x14ac:dyDescent="0.25">
      <c r="B113" s="15" t="s">
        <v>137</v>
      </c>
      <c r="C113" s="16">
        <f>IFERROR(INDEX(Volcado_Dist!$A:$ZZ, MATCH($B113, Volcado_Dist!$A:$A, 0), MATCH(C$2, Volcado_Dist!$1:$1, 0)) / SUM(INDEX(Volcado_Dist!$A:$ZZ, 0, MATCH(C$2, Volcado_Dist!$1:$1, 0))), 0)</f>
        <v>0</v>
      </c>
      <c r="D113" s="16">
        <f>IFERROR(INDEX(Volcado_Dist!$A:$ZZ, MATCH($B113, Volcado_Dist!$A:$A, 0), MATCH(D$2, Volcado_Dist!$1:$1, 0)) / SUM(INDEX(Volcado_Dist!$A:$ZZ, 0, MATCH(D$2, Volcado_Dist!$1:$1, 0))), 0)</f>
        <v>0</v>
      </c>
      <c r="E113" s="16">
        <f>IFERROR(INDEX(Volcado_Dist!$A:$ZZ, MATCH($B113, Volcado_Dist!$A:$A, 0), MATCH(E$2, Volcado_Dist!$1:$1, 0)) / SUM(INDEX(Volcado_Dist!$A:$ZZ, 0, MATCH(E$2, Volcado_Dist!$1:$1, 0))), 0)</f>
        <v>5.9027082911800022E-4</v>
      </c>
      <c r="F113" s="16">
        <f>IFERROR(INDEX(Volcado_Dist!$A:$ZZ, MATCH($B113, Volcado_Dist!$A:$A, 0), MATCH(F$2, Volcado_Dist!$1:$1, 0)) / SUM(INDEX(Volcado_Dist!$A:$ZZ, 0, MATCH(F$2, Volcado_Dist!$1:$1, 0))), 0)</f>
        <v>0</v>
      </c>
      <c r="G113" s="16">
        <f>IFERROR(INDEX(Volcado_Dist!$A:$ZZ, MATCH($B113, Volcado_Dist!$A:$A, 0), MATCH(G$2, Volcado_Dist!$1:$1, 0)) / SUM(INDEX(Volcado_Dist!$A:$ZZ, 0, MATCH(G$2, Volcado_Dist!$1:$1, 0))), 0)</f>
        <v>0</v>
      </c>
      <c r="H113" s="16">
        <f>IFERROR(INDEX(Volcado_Dist!$A:$ZZ, MATCH($B113, Volcado_Dist!$A:$A, 0), MATCH(H$2, Volcado_Dist!$1:$1, 0)) / SUM(INDEX(Volcado_Dist!$A:$ZZ, 0, MATCH(H$2, Volcado_Dist!$1:$1, 0))), 0)</f>
        <v>0</v>
      </c>
      <c r="I113" s="16">
        <f>IFERROR(INDEX(Volcado_Dist!$A:$ZZ, MATCH($B113, Volcado_Dist!$A:$A, 0), MATCH(I$2, Volcado_Dist!$1:$1, 0)) / SUM(INDEX(Volcado_Dist!$A:$ZZ, 0, MATCH(I$2, Volcado_Dist!$1:$1, 0))), 0)</f>
        <v>0</v>
      </c>
      <c r="J113" s="16">
        <f>IFERROR(INDEX(Volcado_Dist!$A:$ZZ, MATCH($B113, Volcado_Dist!$A:$A, 0), MATCH(J$2, Volcado_Dist!$1:$1, 0)) / SUM(INDEX(Volcado_Dist!$A:$ZZ, 0, MATCH(J$2, Volcado_Dist!$1:$1, 0))), 0)</f>
        <v>0</v>
      </c>
      <c r="K113" s="16">
        <f>IFERROR(INDEX(Volcado_Dist!$A:$ZZ, MATCH($B113, Volcado_Dist!$A:$A, 0), MATCH(K$2, Volcado_Dist!$1:$1, 0)) / SUM(INDEX(Volcado_Dist!$A:$ZZ, 0, MATCH(K$2, Volcado_Dist!$1:$1, 0))), 0)</f>
        <v>0</v>
      </c>
      <c r="L113" s="16">
        <f>IFERROR(INDEX(Volcado_Dist!$A:$ZZ, MATCH($B113, Volcado_Dist!$A:$A, 0), MATCH(L$2, Volcado_Dist!$1:$1, 0)) / SUM(INDEX(Volcado_Dist!$A:$ZZ, 0, MATCH(L$2, Volcado_Dist!$1:$1, 0))), 0)</f>
        <v>0</v>
      </c>
      <c r="M113" s="16">
        <f>IFERROR(INDEX(Volcado_Dist!$A:$ZZ, MATCH($B113, Volcado_Dist!$A:$A, 0), MATCH(M$2, Volcado_Dist!$1:$1, 0)) / SUM(INDEX(Volcado_Dist!$A:$ZZ, 0, MATCH(M$2, Volcado_Dist!$1:$1, 0))), 0)</f>
        <v>0</v>
      </c>
      <c r="N113" s="16">
        <f>IFERROR(INDEX(Volcado_Dist!$A:$ZZ, MATCH($B113, Volcado_Dist!$A:$A, 0), MATCH(N$2, Volcado_Dist!$1:$1, 0)) / SUM(INDEX(Volcado_Dist!$A:$ZZ, 0, MATCH(N$2, Volcado_Dist!$1:$1, 0))), 0)</f>
        <v>0</v>
      </c>
      <c r="O113" s="16">
        <f>IFERROR(INDEX(Volcado_Dist!$A:$ZZ, MATCH($B113, Volcado_Dist!$A:$A, 0), MATCH(O$2, Volcado_Dist!$1:$1, 0)) / SUM(INDEX(Volcado_Dist!$A:$ZZ, 0, MATCH(O$2, Volcado_Dist!$1:$1, 0))), 0)</f>
        <v>8.6864622197506175E-4</v>
      </c>
      <c r="P113" s="16">
        <f>IFERROR(INDEX(Volcado_Dist!$A:$ZZ, MATCH($B113, Volcado_Dist!$A:$A, 0), MATCH(P$2, Volcado_Dist!$1:$1, 0)) / SUM(INDEX(Volcado_Dist!$A:$ZZ, 0, MATCH(P$2, Volcado_Dist!$1:$1, 0))), 0)</f>
        <v>0</v>
      </c>
      <c r="Q113" s="16">
        <f>IFERROR(INDEX(Volcado_Dist!$A:$ZZ, MATCH($B113, Volcado_Dist!$A:$A, 0), MATCH(Q$2, Volcado_Dist!$1:$1, 0)) / SUM(INDEX(Volcado_Dist!$A:$ZZ, 0, MATCH(Q$2, Volcado_Dist!$1:$1, 0))), 0)</f>
        <v>0</v>
      </c>
      <c r="R113" s="16">
        <f>IFERROR(INDEX(Volcado_Dist!$A:$ZZ, MATCH($B113, Volcado_Dist!$A:$A, 0), MATCH(R$2, Volcado_Dist!$1:$1, 0)) / SUM(INDEX(Volcado_Dist!$A:$ZZ, 0, MATCH(R$2, Volcado_Dist!$1:$1, 0))), 0)</f>
        <v>0</v>
      </c>
      <c r="S113" s="16">
        <f>IFERROR(INDEX(Volcado_Dist!$A:$ZZ, MATCH($B113, Volcado_Dist!$A:$A, 0), MATCH(S$2, Volcado_Dist!$1:$1, 0)) / SUM(INDEX(Volcado_Dist!$A:$ZZ, 0, MATCH(S$2, Volcado_Dist!$1:$1, 0))), 0)</f>
        <v>3.4248904085564885E-4</v>
      </c>
      <c r="T113" s="16">
        <f>IFERROR(INDEX(Volcado_Dist!$A:$ZZ, MATCH($B113, Volcado_Dist!$A:$A, 0), MATCH(T$2, Volcado_Dist!$1:$1, 0)) / SUM(INDEX(Volcado_Dist!$A:$ZZ, 0, MATCH(T$2, Volcado_Dist!$1:$1, 0))), 0)</f>
        <v>0</v>
      </c>
      <c r="U113" s="16">
        <f>IFERROR(INDEX(Volcado_Dist!$A:$ZZ, MATCH($B113, Volcado_Dist!$A:$A, 0), MATCH(U$2, Volcado_Dist!$1:$1, 0)) / SUM(INDEX(Volcado_Dist!$A:$ZZ, 0, MATCH(U$2, Volcado_Dist!$1:$1, 0))), 0)</f>
        <v>0</v>
      </c>
      <c r="V113" s="16">
        <f>IFERROR(INDEX(Volcado_Dist!$A:$ZZ, MATCH($B113, Volcado_Dist!$A:$A, 0), MATCH(V$2, Volcado_Dist!$1:$1, 0)) / SUM(INDEX(Volcado_Dist!$A:$ZZ, 0, MATCH(V$2, Volcado_Dist!$1:$1, 0))), 0)</f>
        <v>0</v>
      </c>
      <c r="W113" s="16">
        <f t="shared" si="3"/>
        <v>9.0070304597435541E-5</v>
      </c>
      <c r="X113" s="17">
        <f>IFERROR(SUM(_xlfn.XLOOKUP($B113, Volcado_Vend!$A:$A, Volcado_Vend!$C:$ZZ, 0)) / SUM(Volcado_Vend!$C:$ZZ), 0)</f>
        <v>0</v>
      </c>
      <c r="Y113" s="24">
        <f t="shared" si="2"/>
        <v>4.5035152298717771E-5</v>
      </c>
    </row>
    <row r="114" spans="2:25" x14ac:dyDescent="0.25">
      <c r="B114" s="15" t="s">
        <v>138</v>
      </c>
      <c r="C114" s="16">
        <f>IFERROR(INDEX(Volcado_Dist!$A:$ZZ, MATCH($B114, Volcado_Dist!$A:$A, 0), MATCH(C$2, Volcado_Dist!$1:$1, 0)) / SUM(INDEX(Volcado_Dist!$A:$ZZ, 0, MATCH(C$2, Volcado_Dist!$1:$1, 0))), 0)</f>
        <v>3.9321838392693074E-3</v>
      </c>
      <c r="D114" s="16">
        <f>IFERROR(INDEX(Volcado_Dist!$A:$ZZ, MATCH($B114, Volcado_Dist!$A:$A, 0), MATCH(D$2, Volcado_Dist!$1:$1, 0)) / SUM(INDEX(Volcado_Dist!$A:$ZZ, 0, MATCH(D$2, Volcado_Dist!$1:$1, 0))), 0)</f>
        <v>0</v>
      </c>
      <c r="E114" s="16">
        <f>IFERROR(INDEX(Volcado_Dist!$A:$ZZ, MATCH($B114, Volcado_Dist!$A:$A, 0), MATCH(E$2, Volcado_Dist!$1:$1, 0)) / SUM(INDEX(Volcado_Dist!$A:$ZZ, 0, MATCH(E$2, Volcado_Dist!$1:$1, 0))), 0)</f>
        <v>7.9623975965611663E-3</v>
      </c>
      <c r="F114" s="16">
        <f>IFERROR(INDEX(Volcado_Dist!$A:$ZZ, MATCH($B114, Volcado_Dist!$A:$A, 0), MATCH(F$2, Volcado_Dist!$1:$1, 0)) / SUM(INDEX(Volcado_Dist!$A:$ZZ, 0, MATCH(F$2, Volcado_Dist!$1:$1, 0))), 0)</f>
        <v>6.2846262527641349E-3</v>
      </c>
      <c r="G114" s="16">
        <f>IFERROR(INDEX(Volcado_Dist!$A:$ZZ, MATCH($B114, Volcado_Dist!$A:$A, 0), MATCH(G$2, Volcado_Dist!$1:$1, 0)) / SUM(INDEX(Volcado_Dist!$A:$ZZ, 0, MATCH(G$2, Volcado_Dist!$1:$1, 0))), 0)</f>
        <v>4.9323129412101058E-3</v>
      </c>
      <c r="H114" s="16">
        <f>IFERROR(INDEX(Volcado_Dist!$A:$ZZ, MATCH($B114, Volcado_Dist!$A:$A, 0), MATCH(H$2, Volcado_Dist!$1:$1, 0)) / SUM(INDEX(Volcado_Dist!$A:$ZZ, 0, MATCH(H$2, Volcado_Dist!$1:$1, 0))), 0)</f>
        <v>0</v>
      </c>
      <c r="I114" s="16">
        <f>IFERROR(INDEX(Volcado_Dist!$A:$ZZ, MATCH($B114, Volcado_Dist!$A:$A, 0), MATCH(I$2, Volcado_Dist!$1:$1, 0)) / SUM(INDEX(Volcado_Dist!$A:$ZZ, 0, MATCH(I$2, Volcado_Dist!$1:$1, 0))), 0)</f>
        <v>3.558957384290155E-3</v>
      </c>
      <c r="J114" s="16">
        <f>IFERROR(INDEX(Volcado_Dist!$A:$ZZ, MATCH($B114, Volcado_Dist!$A:$A, 0), MATCH(J$2, Volcado_Dist!$1:$1, 0)) / SUM(INDEX(Volcado_Dist!$A:$ZZ, 0, MATCH(J$2, Volcado_Dist!$1:$1, 0))), 0)</f>
        <v>0</v>
      </c>
      <c r="K114" s="16">
        <f>IFERROR(INDEX(Volcado_Dist!$A:$ZZ, MATCH($B114, Volcado_Dist!$A:$A, 0), MATCH(K$2, Volcado_Dist!$1:$1, 0)) / SUM(INDEX(Volcado_Dist!$A:$ZZ, 0, MATCH(K$2, Volcado_Dist!$1:$1, 0))), 0)</f>
        <v>3.5782245695736683E-3</v>
      </c>
      <c r="L114" s="16">
        <f>IFERROR(INDEX(Volcado_Dist!$A:$ZZ, MATCH($B114, Volcado_Dist!$A:$A, 0), MATCH(L$2, Volcado_Dist!$1:$1, 0)) / SUM(INDEX(Volcado_Dist!$A:$ZZ, 0, MATCH(L$2, Volcado_Dist!$1:$1, 0))), 0)</f>
        <v>4.1801121948977704E-3</v>
      </c>
      <c r="M114" s="16">
        <f>IFERROR(INDEX(Volcado_Dist!$A:$ZZ, MATCH($B114, Volcado_Dist!$A:$A, 0), MATCH(M$2, Volcado_Dist!$1:$1, 0)) / SUM(INDEX(Volcado_Dist!$A:$ZZ, 0, MATCH(M$2, Volcado_Dist!$1:$1, 0))), 0)</f>
        <v>1.8407642264693911E-2</v>
      </c>
      <c r="N114" s="16">
        <f>IFERROR(INDEX(Volcado_Dist!$A:$ZZ, MATCH($B114, Volcado_Dist!$A:$A, 0), MATCH(N$2, Volcado_Dist!$1:$1, 0)) / SUM(INDEX(Volcado_Dist!$A:$ZZ, 0, MATCH(N$2, Volcado_Dist!$1:$1, 0))), 0)</f>
        <v>0</v>
      </c>
      <c r="O114" s="16">
        <f>IFERROR(INDEX(Volcado_Dist!$A:$ZZ, MATCH($B114, Volcado_Dist!$A:$A, 0), MATCH(O$2, Volcado_Dist!$1:$1, 0)) / SUM(INDEX(Volcado_Dist!$A:$ZZ, 0, MATCH(O$2, Volcado_Dist!$1:$1, 0))), 0)</f>
        <v>3.6256537960698232E-4</v>
      </c>
      <c r="P114" s="16">
        <f>IFERROR(INDEX(Volcado_Dist!$A:$ZZ, MATCH($B114, Volcado_Dist!$A:$A, 0), MATCH(P$2, Volcado_Dist!$1:$1, 0)) / SUM(INDEX(Volcado_Dist!$A:$ZZ, 0, MATCH(P$2, Volcado_Dist!$1:$1, 0))), 0)</f>
        <v>1.4357721532210787E-3</v>
      </c>
      <c r="Q114" s="16">
        <f>IFERROR(INDEX(Volcado_Dist!$A:$ZZ, MATCH($B114, Volcado_Dist!$A:$A, 0), MATCH(Q$2, Volcado_Dist!$1:$1, 0)) / SUM(INDEX(Volcado_Dist!$A:$ZZ, 0, MATCH(Q$2, Volcado_Dist!$1:$1, 0))), 0)</f>
        <v>1.3219880068426516E-2</v>
      </c>
      <c r="R114" s="16">
        <f>IFERROR(INDEX(Volcado_Dist!$A:$ZZ, MATCH($B114, Volcado_Dist!$A:$A, 0), MATCH(R$2, Volcado_Dist!$1:$1, 0)) / SUM(INDEX(Volcado_Dist!$A:$ZZ, 0, MATCH(R$2, Volcado_Dist!$1:$1, 0))), 0)</f>
        <v>1.8559594601134117E-2</v>
      </c>
      <c r="S114" s="16">
        <f>IFERROR(INDEX(Volcado_Dist!$A:$ZZ, MATCH($B114, Volcado_Dist!$A:$A, 0), MATCH(S$2, Volcado_Dist!$1:$1, 0)) / SUM(INDEX(Volcado_Dist!$A:$ZZ, 0, MATCH(S$2, Volcado_Dist!$1:$1, 0))), 0)</f>
        <v>6.2348326013313268E-3</v>
      </c>
      <c r="T114" s="16">
        <f>IFERROR(INDEX(Volcado_Dist!$A:$ZZ, MATCH($B114, Volcado_Dist!$A:$A, 0), MATCH(T$2, Volcado_Dist!$1:$1, 0)) / SUM(INDEX(Volcado_Dist!$A:$ZZ, 0, MATCH(T$2, Volcado_Dist!$1:$1, 0))), 0)</f>
        <v>2.316386629234684E-3</v>
      </c>
      <c r="U114" s="16">
        <f>IFERROR(INDEX(Volcado_Dist!$A:$ZZ, MATCH($B114, Volcado_Dist!$A:$A, 0), MATCH(U$2, Volcado_Dist!$1:$1, 0)) / SUM(INDEX(Volcado_Dist!$A:$ZZ, 0, MATCH(U$2, Volcado_Dist!$1:$1, 0))), 0)</f>
        <v>9.0253967291882055E-4</v>
      </c>
      <c r="V114" s="16">
        <f>IFERROR(INDEX(Volcado_Dist!$A:$ZZ, MATCH($B114, Volcado_Dist!$A:$A, 0), MATCH(V$2, Volcado_Dist!$1:$1, 0)) / SUM(INDEX(Volcado_Dist!$A:$ZZ, 0, MATCH(V$2, Volcado_Dist!$1:$1, 0))), 0)</f>
        <v>1.1174036307040639E-2</v>
      </c>
      <c r="W114" s="16">
        <f t="shared" si="3"/>
        <v>5.3521032228087189E-3</v>
      </c>
      <c r="X114" s="17">
        <f>IFERROR(SUM(_xlfn.XLOOKUP($B114, Volcado_Vend!$A:$A, Volcado_Vend!$C:$ZZ, 0)) / SUM(Volcado_Vend!$C:$ZZ), 0)</f>
        <v>5.5829558433218877E-3</v>
      </c>
      <c r="Y114" s="24">
        <f t="shared" si="2"/>
        <v>5.4675295330653033E-3</v>
      </c>
    </row>
    <row r="115" spans="2:25" x14ac:dyDescent="0.25">
      <c r="B115" s="15" t="s">
        <v>139</v>
      </c>
      <c r="C115" s="16">
        <f>IFERROR(INDEX(Volcado_Dist!$A:$ZZ, MATCH($B115, Volcado_Dist!$A:$A, 0), MATCH(C$2, Volcado_Dist!$1:$1, 0)) / SUM(INDEX(Volcado_Dist!$A:$ZZ, 0, MATCH(C$2, Volcado_Dist!$1:$1, 0))), 0)</f>
        <v>0</v>
      </c>
      <c r="D115" s="16">
        <f>IFERROR(INDEX(Volcado_Dist!$A:$ZZ, MATCH($B115, Volcado_Dist!$A:$A, 0), MATCH(D$2, Volcado_Dist!$1:$1, 0)) / SUM(INDEX(Volcado_Dist!$A:$ZZ, 0, MATCH(D$2, Volcado_Dist!$1:$1, 0))), 0)</f>
        <v>0</v>
      </c>
      <c r="E115" s="16">
        <f>IFERROR(INDEX(Volcado_Dist!$A:$ZZ, MATCH($B115, Volcado_Dist!$A:$A, 0), MATCH(E$2, Volcado_Dist!$1:$1, 0)) / SUM(INDEX(Volcado_Dist!$A:$ZZ, 0, MATCH(E$2, Volcado_Dist!$1:$1, 0))), 0)</f>
        <v>0</v>
      </c>
      <c r="F115" s="16">
        <f>IFERROR(INDEX(Volcado_Dist!$A:$ZZ, MATCH($B115, Volcado_Dist!$A:$A, 0), MATCH(F$2, Volcado_Dist!$1:$1, 0)) / SUM(INDEX(Volcado_Dist!$A:$ZZ, 0, MATCH(F$2, Volcado_Dist!$1:$1, 0))), 0)</f>
        <v>0</v>
      </c>
      <c r="G115" s="16">
        <f>IFERROR(INDEX(Volcado_Dist!$A:$ZZ, MATCH($B115, Volcado_Dist!$A:$A, 0), MATCH(G$2, Volcado_Dist!$1:$1, 0)) / SUM(INDEX(Volcado_Dist!$A:$ZZ, 0, MATCH(G$2, Volcado_Dist!$1:$1, 0))), 0)</f>
        <v>0</v>
      </c>
      <c r="H115" s="16">
        <f>IFERROR(INDEX(Volcado_Dist!$A:$ZZ, MATCH($B115, Volcado_Dist!$A:$A, 0), MATCH(H$2, Volcado_Dist!$1:$1, 0)) / SUM(INDEX(Volcado_Dist!$A:$ZZ, 0, MATCH(H$2, Volcado_Dist!$1:$1, 0))), 0)</f>
        <v>0</v>
      </c>
      <c r="I115" s="16">
        <f>IFERROR(INDEX(Volcado_Dist!$A:$ZZ, MATCH($B115, Volcado_Dist!$A:$A, 0), MATCH(I$2, Volcado_Dist!$1:$1, 0)) / SUM(INDEX(Volcado_Dist!$A:$ZZ, 0, MATCH(I$2, Volcado_Dist!$1:$1, 0))), 0)</f>
        <v>1.0218598092857346E-4</v>
      </c>
      <c r="J115" s="16">
        <f>IFERROR(INDEX(Volcado_Dist!$A:$ZZ, MATCH($B115, Volcado_Dist!$A:$A, 0), MATCH(J$2, Volcado_Dist!$1:$1, 0)) / SUM(INDEX(Volcado_Dist!$A:$ZZ, 0, MATCH(J$2, Volcado_Dist!$1:$1, 0))), 0)</f>
        <v>0</v>
      </c>
      <c r="K115" s="16">
        <f>IFERROR(INDEX(Volcado_Dist!$A:$ZZ, MATCH($B115, Volcado_Dist!$A:$A, 0), MATCH(K$2, Volcado_Dist!$1:$1, 0)) / SUM(INDEX(Volcado_Dist!$A:$ZZ, 0, MATCH(K$2, Volcado_Dist!$1:$1, 0))), 0)</f>
        <v>2.3789580301403635E-5</v>
      </c>
      <c r="L115" s="16">
        <f>IFERROR(INDEX(Volcado_Dist!$A:$ZZ, MATCH($B115, Volcado_Dist!$A:$A, 0), MATCH(L$2, Volcado_Dist!$1:$1, 0)) / SUM(INDEX(Volcado_Dist!$A:$ZZ, 0, MATCH(L$2, Volcado_Dist!$1:$1, 0))), 0)</f>
        <v>0</v>
      </c>
      <c r="M115" s="16">
        <f>IFERROR(INDEX(Volcado_Dist!$A:$ZZ, MATCH($B115, Volcado_Dist!$A:$A, 0), MATCH(M$2, Volcado_Dist!$1:$1, 0)) / SUM(INDEX(Volcado_Dist!$A:$ZZ, 0, MATCH(M$2, Volcado_Dist!$1:$1, 0))), 0)</f>
        <v>0</v>
      </c>
      <c r="N115" s="16">
        <f>IFERROR(INDEX(Volcado_Dist!$A:$ZZ, MATCH($B115, Volcado_Dist!$A:$A, 0), MATCH(N$2, Volcado_Dist!$1:$1, 0)) / SUM(INDEX(Volcado_Dist!$A:$ZZ, 0, MATCH(N$2, Volcado_Dist!$1:$1, 0))), 0)</f>
        <v>0</v>
      </c>
      <c r="O115" s="16">
        <f>IFERROR(INDEX(Volcado_Dist!$A:$ZZ, MATCH($B115, Volcado_Dist!$A:$A, 0), MATCH(O$2, Volcado_Dist!$1:$1, 0)) / SUM(INDEX(Volcado_Dist!$A:$ZZ, 0, MATCH(O$2, Volcado_Dist!$1:$1, 0))), 0)</f>
        <v>0</v>
      </c>
      <c r="P115" s="16">
        <f>IFERROR(INDEX(Volcado_Dist!$A:$ZZ, MATCH($B115, Volcado_Dist!$A:$A, 0), MATCH(P$2, Volcado_Dist!$1:$1, 0)) / SUM(INDEX(Volcado_Dist!$A:$ZZ, 0, MATCH(P$2, Volcado_Dist!$1:$1, 0))), 0)</f>
        <v>0</v>
      </c>
      <c r="Q115" s="16">
        <f>IFERROR(INDEX(Volcado_Dist!$A:$ZZ, MATCH($B115, Volcado_Dist!$A:$A, 0), MATCH(Q$2, Volcado_Dist!$1:$1, 0)) / SUM(INDEX(Volcado_Dist!$A:$ZZ, 0, MATCH(Q$2, Volcado_Dist!$1:$1, 0))), 0)</f>
        <v>0</v>
      </c>
      <c r="R115" s="16">
        <f>IFERROR(INDEX(Volcado_Dist!$A:$ZZ, MATCH($B115, Volcado_Dist!$A:$A, 0), MATCH(R$2, Volcado_Dist!$1:$1, 0)) / SUM(INDEX(Volcado_Dist!$A:$ZZ, 0, MATCH(R$2, Volcado_Dist!$1:$1, 0))), 0)</f>
        <v>0</v>
      </c>
      <c r="S115" s="16">
        <f>IFERROR(INDEX(Volcado_Dist!$A:$ZZ, MATCH($B115, Volcado_Dist!$A:$A, 0), MATCH(S$2, Volcado_Dist!$1:$1, 0)) / SUM(INDEX(Volcado_Dist!$A:$ZZ, 0, MATCH(S$2, Volcado_Dist!$1:$1, 0))), 0)</f>
        <v>0</v>
      </c>
      <c r="T115" s="16">
        <f>IFERROR(INDEX(Volcado_Dist!$A:$ZZ, MATCH($B115, Volcado_Dist!$A:$A, 0), MATCH(T$2, Volcado_Dist!$1:$1, 0)) / SUM(INDEX(Volcado_Dist!$A:$ZZ, 0, MATCH(T$2, Volcado_Dist!$1:$1, 0))), 0)</f>
        <v>0</v>
      </c>
      <c r="U115" s="16">
        <f>IFERROR(INDEX(Volcado_Dist!$A:$ZZ, MATCH($B115, Volcado_Dist!$A:$A, 0), MATCH(U$2, Volcado_Dist!$1:$1, 0)) / SUM(INDEX(Volcado_Dist!$A:$ZZ, 0, MATCH(U$2, Volcado_Dist!$1:$1, 0))), 0)</f>
        <v>0</v>
      </c>
      <c r="V115" s="16">
        <f>IFERROR(INDEX(Volcado_Dist!$A:$ZZ, MATCH($B115, Volcado_Dist!$A:$A, 0), MATCH(V$2, Volcado_Dist!$1:$1, 0)) / SUM(INDEX(Volcado_Dist!$A:$ZZ, 0, MATCH(V$2, Volcado_Dist!$1:$1, 0))), 0)</f>
        <v>0</v>
      </c>
      <c r="W115" s="16">
        <f t="shared" si="3"/>
        <v>6.2987780614988555E-6</v>
      </c>
      <c r="X115" s="17">
        <f>IFERROR(SUM(_xlfn.XLOOKUP($B115, Volcado_Vend!$A:$A, Volcado_Vend!$C:$ZZ, 0)) / SUM(Volcado_Vend!$C:$ZZ), 0)</f>
        <v>1.1112550643480191E-3</v>
      </c>
      <c r="Y115" s="24">
        <f t="shared" si="2"/>
        <v>5.5877692120475894E-4</v>
      </c>
    </row>
    <row r="116" spans="2:25" x14ac:dyDescent="0.25">
      <c r="B116" s="15" t="s">
        <v>140</v>
      </c>
      <c r="C116" s="16">
        <f>IFERROR(INDEX(Volcado_Dist!$A:$ZZ, MATCH($B116, Volcado_Dist!$A:$A, 0), MATCH(C$2, Volcado_Dist!$1:$1, 0)) / SUM(INDEX(Volcado_Dist!$A:$ZZ, 0, MATCH(C$2, Volcado_Dist!$1:$1, 0))), 0)</f>
        <v>1.4084169305873746E-4</v>
      </c>
      <c r="D116" s="16">
        <f>IFERROR(INDEX(Volcado_Dist!$A:$ZZ, MATCH($B116, Volcado_Dist!$A:$A, 0), MATCH(D$2, Volcado_Dist!$1:$1, 0)) / SUM(INDEX(Volcado_Dist!$A:$ZZ, 0, MATCH(D$2, Volcado_Dist!$1:$1, 0))), 0)</f>
        <v>7.2783362202521379E-2</v>
      </c>
      <c r="E116" s="16">
        <f>IFERROR(INDEX(Volcado_Dist!$A:$ZZ, MATCH($B116, Volcado_Dist!$A:$A, 0), MATCH(E$2, Volcado_Dist!$1:$1, 0)) / SUM(INDEX(Volcado_Dist!$A:$ZZ, 0, MATCH(E$2, Volcado_Dist!$1:$1, 0))), 0)</f>
        <v>6.8437197578898588E-4</v>
      </c>
      <c r="F116" s="16">
        <f>IFERROR(INDEX(Volcado_Dist!$A:$ZZ, MATCH($B116, Volcado_Dist!$A:$A, 0), MATCH(F$2, Volcado_Dist!$1:$1, 0)) / SUM(INDEX(Volcado_Dist!$A:$ZZ, 0, MATCH(F$2, Volcado_Dist!$1:$1, 0))), 0)</f>
        <v>1.0152719071705564E-3</v>
      </c>
      <c r="G116" s="16">
        <f>IFERROR(INDEX(Volcado_Dist!$A:$ZZ, MATCH($B116, Volcado_Dist!$A:$A, 0), MATCH(G$2, Volcado_Dist!$1:$1, 0)) / SUM(INDEX(Volcado_Dist!$A:$ZZ, 0, MATCH(G$2, Volcado_Dist!$1:$1, 0))), 0)</f>
        <v>0</v>
      </c>
      <c r="H116" s="16">
        <f>IFERROR(INDEX(Volcado_Dist!$A:$ZZ, MATCH($B116, Volcado_Dist!$A:$A, 0), MATCH(H$2, Volcado_Dist!$1:$1, 0)) / SUM(INDEX(Volcado_Dist!$A:$ZZ, 0, MATCH(H$2, Volcado_Dist!$1:$1, 0))), 0)</f>
        <v>0</v>
      </c>
      <c r="I116" s="16">
        <f>IFERROR(INDEX(Volcado_Dist!$A:$ZZ, MATCH($B116, Volcado_Dist!$A:$A, 0), MATCH(I$2, Volcado_Dist!$1:$1, 0)) / SUM(INDEX(Volcado_Dist!$A:$ZZ, 0, MATCH(I$2, Volcado_Dist!$1:$1, 0))), 0)</f>
        <v>7.8252973758176931E-3</v>
      </c>
      <c r="J116" s="16">
        <f>IFERROR(INDEX(Volcado_Dist!$A:$ZZ, MATCH($B116, Volcado_Dist!$A:$A, 0), MATCH(J$2, Volcado_Dist!$1:$1, 0)) / SUM(INDEX(Volcado_Dist!$A:$ZZ, 0, MATCH(J$2, Volcado_Dist!$1:$1, 0))), 0)</f>
        <v>0</v>
      </c>
      <c r="K116" s="16">
        <f>IFERROR(INDEX(Volcado_Dist!$A:$ZZ, MATCH($B116, Volcado_Dist!$A:$A, 0), MATCH(K$2, Volcado_Dist!$1:$1, 0)) / SUM(INDEX(Volcado_Dist!$A:$ZZ, 0, MATCH(K$2, Volcado_Dist!$1:$1, 0))), 0)</f>
        <v>4.8849239291397862E-3</v>
      </c>
      <c r="L116" s="16">
        <f>IFERROR(INDEX(Volcado_Dist!$A:$ZZ, MATCH($B116, Volcado_Dist!$A:$A, 0), MATCH(L$2, Volcado_Dist!$1:$1, 0)) / SUM(INDEX(Volcado_Dist!$A:$ZZ, 0, MATCH(L$2, Volcado_Dist!$1:$1, 0))), 0)</f>
        <v>8.8867257756036211E-3</v>
      </c>
      <c r="M116" s="16">
        <f>IFERROR(INDEX(Volcado_Dist!$A:$ZZ, MATCH($B116, Volcado_Dist!$A:$A, 0), MATCH(M$2, Volcado_Dist!$1:$1, 0)) / SUM(INDEX(Volcado_Dist!$A:$ZZ, 0, MATCH(M$2, Volcado_Dist!$1:$1, 0))), 0)</f>
        <v>7.5646808837801869E-3</v>
      </c>
      <c r="N116" s="16">
        <f>IFERROR(INDEX(Volcado_Dist!$A:$ZZ, MATCH($B116, Volcado_Dist!$A:$A, 0), MATCH(N$2, Volcado_Dist!$1:$1, 0)) / SUM(INDEX(Volcado_Dist!$A:$ZZ, 0, MATCH(N$2, Volcado_Dist!$1:$1, 0))), 0)</f>
        <v>0</v>
      </c>
      <c r="O116" s="16">
        <f>IFERROR(INDEX(Volcado_Dist!$A:$ZZ, MATCH($B116, Volcado_Dist!$A:$A, 0), MATCH(O$2, Volcado_Dist!$1:$1, 0)) / SUM(INDEX(Volcado_Dist!$A:$ZZ, 0, MATCH(O$2, Volcado_Dist!$1:$1, 0))), 0)</f>
        <v>0</v>
      </c>
      <c r="P116" s="16">
        <f>IFERROR(INDEX(Volcado_Dist!$A:$ZZ, MATCH($B116, Volcado_Dist!$A:$A, 0), MATCH(P$2, Volcado_Dist!$1:$1, 0)) / SUM(INDEX(Volcado_Dist!$A:$ZZ, 0, MATCH(P$2, Volcado_Dist!$1:$1, 0))), 0)</f>
        <v>1.4075489505590151E-4</v>
      </c>
      <c r="Q116" s="16">
        <f>IFERROR(INDEX(Volcado_Dist!$A:$ZZ, MATCH($B116, Volcado_Dist!$A:$A, 0), MATCH(Q$2, Volcado_Dist!$1:$1, 0)) / SUM(INDEX(Volcado_Dist!$A:$ZZ, 0, MATCH(Q$2, Volcado_Dist!$1:$1, 0))), 0)</f>
        <v>2.80517322377109E-3</v>
      </c>
      <c r="R116" s="16">
        <f>IFERROR(INDEX(Volcado_Dist!$A:$ZZ, MATCH($B116, Volcado_Dist!$A:$A, 0), MATCH(R$2, Volcado_Dist!$1:$1, 0)) / SUM(INDEX(Volcado_Dist!$A:$ZZ, 0, MATCH(R$2, Volcado_Dist!$1:$1, 0))), 0)</f>
        <v>0</v>
      </c>
      <c r="S116" s="16">
        <f>IFERROR(INDEX(Volcado_Dist!$A:$ZZ, MATCH($B116, Volcado_Dist!$A:$A, 0), MATCH(S$2, Volcado_Dist!$1:$1, 0)) / SUM(INDEX(Volcado_Dist!$A:$ZZ, 0, MATCH(S$2, Volcado_Dist!$1:$1, 0))), 0)</f>
        <v>0</v>
      </c>
      <c r="T116" s="16">
        <f>IFERROR(INDEX(Volcado_Dist!$A:$ZZ, MATCH($B116, Volcado_Dist!$A:$A, 0), MATCH(T$2, Volcado_Dist!$1:$1, 0)) / SUM(INDEX(Volcado_Dist!$A:$ZZ, 0, MATCH(T$2, Volcado_Dist!$1:$1, 0))), 0)</f>
        <v>0</v>
      </c>
      <c r="U116" s="16">
        <f>IFERROR(INDEX(Volcado_Dist!$A:$ZZ, MATCH($B116, Volcado_Dist!$A:$A, 0), MATCH(U$2, Volcado_Dist!$1:$1, 0)) / SUM(INDEX(Volcado_Dist!$A:$ZZ, 0, MATCH(U$2, Volcado_Dist!$1:$1, 0))), 0)</f>
        <v>0</v>
      </c>
      <c r="V116" s="16">
        <f>IFERROR(INDEX(Volcado_Dist!$A:$ZZ, MATCH($B116, Volcado_Dist!$A:$A, 0), MATCH(V$2, Volcado_Dist!$1:$1, 0)) / SUM(INDEX(Volcado_Dist!$A:$ZZ, 0, MATCH(V$2, Volcado_Dist!$1:$1, 0))), 0)</f>
        <v>1.5379436927067918E-3</v>
      </c>
      <c r="W116" s="16">
        <f t="shared" si="3"/>
        <v>5.4134673777207366E-3</v>
      </c>
      <c r="X116" s="17">
        <f>IFERROR(SUM(_xlfn.XLOOKUP($B116, Volcado_Vend!$A:$A, Volcado_Vend!$C:$ZZ, 0)) / SUM(Volcado_Vend!$C:$ZZ), 0)</f>
        <v>5.3596150392949942E-4</v>
      </c>
      <c r="Y116" s="24">
        <f t="shared" si="2"/>
        <v>2.974714440825118E-3</v>
      </c>
    </row>
    <row r="117" spans="2:25" x14ac:dyDescent="0.25">
      <c r="B117" s="15" t="s">
        <v>141</v>
      </c>
      <c r="C117" s="16">
        <f>IFERROR(INDEX(Volcado_Dist!$A:$ZZ, MATCH($B117, Volcado_Dist!$A:$A, 0), MATCH(C$2, Volcado_Dist!$1:$1, 0)) / SUM(INDEX(Volcado_Dist!$A:$ZZ, 0, MATCH(C$2, Volcado_Dist!$1:$1, 0))), 0)</f>
        <v>3.456396734548619E-3</v>
      </c>
      <c r="D117" s="16">
        <f>IFERROR(INDEX(Volcado_Dist!$A:$ZZ, MATCH($B117, Volcado_Dist!$A:$A, 0), MATCH(D$2, Volcado_Dist!$1:$1, 0)) / SUM(INDEX(Volcado_Dist!$A:$ZZ, 0, MATCH(D$2, Volcado_Dist!$1:$1, 0))), 0)</f>
        <v>0</v>
      </c>
      <c r="E117" s="16">
        <f>IFERROR(INDEX(Volcado_Dist!$A:$ZZ, MATCH($B117, Volcado_Dist!$A:$A, 0), MATCH(E$2, Volcado_Dist!$1:$1, 0)) / SUM(INDEX(Volcado_Dist!$A:$ZZ, 0, MATCH(E$2, Volcado_Dist!$1:$1, 0))), 0)</f>
        <v>1.2643772252701516E-3</v>
      </c>
      <c r="F117" s="16">
        <f>IFERROR(INDEX(Volcado_Dist!$A:$ZZ, MATCH($B117, Volcado_Dist!$A:$A, 0), MATCH(F$2, Volcado_Dist!$1:$1, 0)) / SUM(INDEX(Volcado_Dist!$A:$ZZ, 0, MATCH(F$2, Volcado_Dist!$1:$1, 0))), 0)</f>
        <v>6.4594797599585685E-4</v>
      </c>
      <c r="G117" s="16">
        <f>IFERROR(INDEX(Volcado_Dist!$A:$ZZ, MATCH($B117, Volcado_Dist!$A:$A, 0), MATCH(G$2, Volcado_Dist!$1:$1, 0)) / SUM(INDEX(Volcado_Dist!$A:$ZZ, 0, MATCH(G$2, Volcado_Dist!$1:$1, 0))), 0)</f>
        <v>0</v>
      </c>
      <c r="H117" s="16">
        <f>IFERROR(INDEX(Volcado_Dist!$A:$ZZ, MATCH($B117, Volcado_Dist!$A:$A, 0), MATCH(H$2, Volcado_Dist!$1:$1, 0)) / SUM(INDEX(Volcado_Dist!$A:$ZZ, 0, MATCH(H$2, Volcado_Dist!$1:$1, 0))), 0)</f>
        <v>0</v>
      </c>
      <c r="I117" s="16">
        <f>IFERROR(INDEX(Volcado_Dist!$A:$ZZ, MATCH($B117, Volcado_Dist!$A:$A, 0), MATCH(I$2, Volcado_Dist!$1:$1, 0)) / SUM(INDEX(Volcado_Dist!$A:$ZZ, 0, MATCH(I$2, Volcado_Dist!$1:$1, 0))), 0)</f>
        <v>8.9868304841254746E-4</v>
      </c>
      <c r="J117" s="16">
        <f>IFERROR(INDEX(Volcado_Dist!$A:$ZZ, MATCH($B117, Volcado_Dist!$A:$A, 0), MATCH(J$2, Volcado_Dist!$1:$1, 0)) / SUM(INDEX(Volcado_Dist!$A:$ZZ, 0, MATCH(J$2, Volcado_Dist!$1:$1, 0))), 0)</f>
        <v>0</v>
      </c>
      <c r="K117" s="16">
        <f>IFERROR(INDEX(Volcado_Dist!$A:$ZZ, MATCH($B117, Volcado_Dist!$A:$A, 0), MATCH(K$2, Volcado_Dist!$1:$1, 0)) / SUM(INDEX(Volcado_Dist!$A:$ZZ, 0, MATCH(K$2, Volcado_Dist!$1:$1, 0))), 0)</f>
        <v>1.6481275166786203E-3</v>
      </c>
      <c r="L117" s="16">
        <f>IFERROR(INDEX(Volcado_Dist!$A:$ZZ, MATCH($B117, Volcado_Dist!$A:$A, 0), MATCH(L$2, Volcado_Dist!$1:$1, 0)) / SUM(INDEX(Volcado_Dist!$A:$ZZ, 0, MATCH(L$2, Volcado_Dist!$1:$1, 0))), 0)</f>
        <v>3.1315209721153293E-3</v>
      </c>
      <c r="M117" s="16">
        <f>IFERROR(INDEX(Volcado_Dist!$A:$ZZ, MATCH($B117, Volcado_Dist!$A:$A, 0), MATCH(M$2, Volcado_Dist!$1:$1, 0)) / SUM(INDEX(Volcado_Dist!$A:$ZZ, 0, MATCH(M$2, Volcado_Dist!$1:$1, 0))), 0)</f>
        <v>4.3142649175978163E-3</v>
      </c>
      <c r="N117" s="16">
        <f>IFERROR(INDEX(Volcado_Dist!$A:$ZZ, MATCH($B117, Volcado_Dist!$A:$A, 0), MATCH(N$2, Volcado_Dist!$1:$1, 0)) / SUM(INDEX(Volcado_Dist!$A:$ZZ, 0, MATCH(N$2, Volcado_Dist!$1:$1, 0))), 0)</f>
        <v>0</v>
      </c>
      <c r="O117" s="16">
        <f>IFERROR(INDEX(Volcado_Dist!$A:$ZZ, MATCH($B117, Volcado_Dist!$A:$A, 0), MATCH(O$2, Volcado_Dist!$1:$1, 0)) / SUM(INDEX(Volcado_Dist!$A:$ZZ, 0, MATCH(O$2, Volcado_Dist!$1:$1, 0))), 0)</f>
        <v>0</v>
      </c>
      <c r="P117" s="16">
        <f>IFERROR(INDEX(Volcado_Dist!$A:$ZZ, MATCH($B117, Volcado_Dist!$A:$A, 0), MATCH(P$2, Volcado_Dist!$1:$1, 0)) / SUM(INDEX(Volcado_Dist!$A:$ZZ, 0, MATCH(P$2, Volcado_Dist!$1:$1, 0))), 0)</f>
        <v>7.8879642052912655E-5</v>
      </c>
      <c r="Q117" s="16">
        <f>IFERROR(INDEX(Volcado_Dist!$A:$ZZ, MATCH($B117, Volcado_Dist!$A:$A, 0), MATCH(Q$2, Volcado_Dist!$1:$1, 0)) / SUM(INDEX(Volcado_Dist!$A:$ZZ, 0, MATCH(Q$2, Volcado_Dist!$1:$1, 0))), 0)</f>
        <v>3.8174586270693883E-3</v>
      </c>
      <c r="R117" s="16">
        <f>IFERROR(INDEX(Volcado_Dist!$A:$ZZ, MATCH($B117, Volcado_Dist!$A:$A, 0), MATCH(R$2, Volcado_Dist!$1:$1, 0)) / SUM(INDEX(Volcado_Dist!$A:$ZZ, 0, MATCH(R$2, Volcado_Dist!$1:$1, 0))), 0)</f>
        <v>0</v>
      </c>
      <c r="S117" s="16">
        <f>IFERROR(INDEX(Volcado_Dist!$A:$ZZ, MATCH($B117, Volcado_Dist!$A:$A, 0), MATCH(S$2, Volcado_Dist!$1:$1, 0)) / SUM(INDEX(Volcado_Dist!$A:$ZZ, 0, MATCH(S$2, Volcado_Dist!$1:$1, 0))), 0)</f>
        <v>5.8503978388711674E-5</v>
      </c>
      <c r="T117" s="16">
        <f>IFERROR(INDEX(Volcado_Dist!$A:$ZZ, MATCH($B117, Volcado_Dist!$A:$A, 0), MATCH(T$2, Volcado_Dist!$1:$1, 0)) / SUM(INDEX(Volcado_Dist!$A:$ZZ, 0, MATCH(T$2, Volcado_Dist!$1:$1, 0))), 0)</f>
        <v>2.577222280137156E-4</v>
      </c>
      <c r="U117" s="16">
        <f>IFERROR(INDEX(Volcado_Dist!$A:$ZZ, MATCH($B117, Volcado_Dist!$A:$A, 0), MATCH(U$2, Volcado_Dist!$1:$1, 0)) / SUM(INDEX(Volcado_Dist!$A:$ZZ, 0, MATCH(U$2, Volcado_Dist!$1:$1, 0))), 0)</f>
        <v>0</v>
      </c>
      <c r="V117" s="16">
        <f>IFERROR(INDEX(Volcado_Dist!$A:$ZZ, MATCH($B117, Volcado_Dist!$A:$A, 0), MATCH(V$2, Volcado_Dist!$1:$1, 0)) / SUM(INDEX(Volcado_Dist!$A:$ZZ, 0, MATCH(V$2, Volcado_Dist!$1:$1, 0))), 0)</f>
        <v>1.3303484663414228E-3</v>
      </c>
      <c r="W117" s="16">
        <f t="shared" si="3"/>
        <v>1.0451115666242545E-3</v>
      </c>
      <c r="X117" s="17">
        <f>IFERROR(SUM(_xlfn.XLOOKUP($B117, Volcado_Vend!$A:$A, Volcado_Vend!$C:$ZZ, 0)) / SUM(Volcado_Vend!$C:$ZZ), 0)</f>
        <v>1.4103059281651715E-2</v>
      </c>
      <c r="Y117" s="24">
        <f t="shared" si="2"/>
        <v>7.5740854241379846E-3</v>
      </c>
    </row>
    <row r="118" spans="2:25" x14ac:dyDescent="0.25">
      <c r="B118" s="15" t="s">
        <v>142</v>
      </c>
      <c r="C118" s="16">
        <f>IFERROR(INDEX(Volcado_Dist!$A:$ZZ, MATCH($B118, Volcado_Dist!$A:$A, 0), MATCH(C$2, Volcado_Dist!$1:$1, 0)) / SUM(INDEX(Volcado_Dist!$A:$ZZ, 0, MATCH(C$2, Volcado_Dist!$1:$1, 0))), 0)</f>
        <v>3.6350570303731286E-3</v>
      </c>
      <c r="D118" s="16">
        <f>IFERROR(INDEX(Volcado_Dist!$A:$ZZ, MATCH($B118, Volcado_Dist!$A:$A, 0), MATCH(D$2, Volcado_Dist!$1:$1, 0)) / SUM(INDEX(Volcado_Dist!$A:$ZZ, 0, MATCH(D$2, Volcado_Dist!$1:$1, 0))), 0)</f>
        <v>0</v>
      </c>
      <c r="E118" s="16">
        <f>IFERROR(INDEX(Volcado_Dist!$A:$ZZ, MATCH($B118, Volcado_Dist!$A:$A, 0), MATCH(E$2, Volcado_Dist!$1:$1, 0)) / SUM(INDEX(Volcado_Dist!$A:$ZZ, 0, MATCH(E$2, Volcado_Dist!$1:$1, 0))), 0)</f>
        <v>-1.0984170211413224E-3</v>
      </c>
      <c r="F118" s="16">
        <f>IFERROR(INDEX(Volcado_Dist!$A:$ZZ, MATCH($B118, Volcado_Dist!$A:$A, 0), MATCH(F$2, Volcado_Dist!$1:$1, 0)) / SUM(INDEX(Volcado_Dist!$A:$ZZ, 0, MATCH(F$2, Volcado_Dist!$1:$1, 0))), 0)</f>
        <v>3.6224344834612635E-3</v>
      </c>
      <c r="G118" s="16">
        <f>IFERROR(INDEX(Volcado_Dist!$A:$ZZ, MATCH($B118, Volcado_Dist!$A:$A, 0), MATCH(G$2, Volcado_Dist!$1:$1, 0)) / SUM(INDEX(Volcado_Dist!$A:$ZZ, 0, MATCH(G$2, Volcado_Dist!$1:$1, 0))), 0)</f>
        <v>0</v>
      </c>
      <c r="H118" s="16">
        <f>IFERROR(INDEX(Volcado_Dist!$A:$ZZ, MATCH($B118, Volcado_Dist!$A:$A, 0), MATCH(H$2, Volcado_Dist!$1:$1, 0)) / SUM(INDEX(Volcado_Dist!$A:$ZZ, 0, MATCH(H$2, Volcado_Dist!$1:$1, 0))), 0)</f>
        <v>0</v>
      </c>
      <c r="I118" s="16">
        <f>IFERROR(INDEX(Volcado_Dist!$A:$ZZ, MATCH($B118, Volcado_Dist!$A:$A, 0), MATCH(I$2, Volcado_Dist!$1:$1, 0)) / SUM(INDEX(Volcado_Dist!$A:$ZZ, 0, MATCH(I$2, Volcado_Dist!$1:$1, 0))), 0)</f>
        <v>-1.1360301280192551E-4</v>
      </c>
      <c r="J118" s="16">
        <f>IFERROR(INDEX(Volcado_Dist!$A:$ZZ, MATCH($B118, Volcado_Dist!$A:$A, 0), MATCH(J$2, Volcado_Dist!$1:$1, 0)) / SUM(INDEX(Volcado_Dist!$A:$ZZ, 0, MATCH(J$2, Volcado_Dist!$1:$1, 0))), 0)</f>
        <v>0</v>
      </c>
      <c r="K118" s="16">
        <f>IFERROR(INDEX(Volcado_Dist!$A:$ZZ, MATCH($B118, Volcado_Dist!$A:$A, 0), MATCH(K$2, Volcado_Dist!$1:$1, 0)) / SUM(INDEX(Volcado_Dist!$A:$ZZ, 0, MATCH(K$2, Volcado_Dist!$1:$1, 0))), 0)</f>
        <v>4.5757285661166365E-3</v>
      </c>
      <c r="L118" s="16">
        <f>IFERROR(INDEX(Volcado_Dist!$A:$ZZ, MATCH($B118, Volcado_Dist!$A:$A, 0), MATCH(L$2, Volcado_Dist!$1:$1, 0)) / SUM(INDEX(Volcado_Dist!$A:$ZZ, 0, MATCH(L$2, Volcado_Dist!$1:$1, 0))), 0)</f>
        <v>0</v>
      </c>
      <c r="M118" s="16">
        <f>IFERROR(INDEX(Volcado_Dist!$A:$ZZ, MATCH($B118, Volcado_Dist!$A:$A, 0), MATCH(M$2, Volcado_Dist!$1:$1, 0)) / SUM(INDEX(Volcado_Dist!$A:$ZZ, 0, MATCH(M$2, Volcado_Dist!$1:$1, 0))), 0)</f>
        <v>2.6995692759237797E-3</v>
      </c>
      <c r="N118" s="16">
        <f>IFERROR(INDEX(Volcado_Dist!$A:$ZZ, MATCH($B118, Volcado_Dist!$A:$A, 0), MATCH(N$2, Volcado_Dist!$1:$1, 0)) / SUM(INDEX(Volcado_Dist!$A:$ZZ, 0, MATCH(N$2, Volcado_Dist!$1:$1, 0))), 0)</f>
        <v>0</v>
      </c>
      <c r="O118" s="16">
        <f>IFERROR(INDEX(Volcado_Dist!$A:$ZZ, MATCH($B118, Volcado_Dist!$A:$A, 0), MATCH(O$2, Volcado_Dist!$1:$1, 0)) / SUM(INDEX(Volcado_Dist!$A:$ZZ, 0, MATCH(O$2, Volcado_Dist!$1:$1, 0))), 0)</f>
        <v>0</v>
      </c>
      <c r="P118" s="16">
        <f>IFERROR(INDEX(Volcado_Dist!$A:$ZZ, MATCH($B118, Volcado_Dist!$A:$A, 0), MATCH(P$2, Volcado_Dist!$1:$1, 0)) / SUM(INDEX(Volcado_Dist!$A:$ZZ, 0, MATCH(P$2, Volcado_Dist!$1:$1, 0))), 0)</f>
        <v>-1.9482823756528995E-4</v>
      </c>
      <c r="Q118" s="16">
        <f>IFERROR(INDEX(Volcado_Dist!$A:$ZZ, MATCH($B118, Volcado_Dist!$A:$A, 0), MATCH(Q$2, Volcado_Dist!$1:$1, 0)) / SUM(INDEX(Volcado_Dist!$A:$ZZ, 0, MATCH(Q$2, Volcado_Dist!$1:$1, 0))), 0)</f>
        <v>3.8783033401310015E-3</v>
      </c>
      <c r="R118" s="16">
        <f>IFERROR(INDEX(Volcado_Dist!$A:$ZZ, MATCH($B118, Volcado_Dist!$A:$A, 0), MATCH(R$2, Volcado_Dist!$1:$1, 0)) / SUM(INDEX(Volcado_Dist!$A:$ZZ, 0, MATCH(R$2, Volcado_Dist!$1:$1, 0))), 0)</f>
        <v>0</v>
      </c>
      <c r="S118" s="16">
        <f>IFERROR(INDEX(Volcado_Dist!$A:$ZZ, MATCH($B118, Volcado_Dist!$A:$A, 0), MATCH(S$2, Volcado_Dist!$1:$1, 0)) / SUM(INDEX(Volcado_Dist!$A:$ZZ, 0, MATCH(S$2, Volcado_Dist!$1:$1, 0))), 0)</f>
        <v>2.0532797087046393E-4</v>
      </c>
      <c r="T118" s="16">
        <f>IFERROR(INDEX(Volcado_Dist!$A:$ZZ, MATCH($B118, Volcado_Dist!$A:$A, 0), MATCH(T$2, Volcado_Dist!$1:$1, 0)) / SUM(INDEX(Volcado_Dist!$A:$ZZ, 0, MATCH(T$2, Volcado_Dist!$1:$1, 0))), 0)</f>
        <v>4.6876040948991308E-3</v>
      </c>
      <c r="U118" s="16">
        <f>IFERROR(INDEX(Volcado_Dist!$A:$ZZ, MATCH($B118, Volcado_Dist!$A:$A, 0), MATCH(U$2, Volcado_Dist!$1:$1, 0)) / SUM(INDEX(Volcado_Dist!$A:$ZZ, 0, MATCH(U$2, Volcado_Dist!$1:$1, 0))), 0)</f>
        <v>0</v>
      </c>
      <c r="V118" s="16">
        <f>IFERROR(INDEX(Volcado_Dist!$A:$ZZ, MATCH($B118, Volcado_Dist!$A:$A, 0), MATCH(V$2, Volcado_Dist!$1:$1, 0)) / SUM(INDEX(Volcado_Dist!$A:$ZZ, 0, MATCH(V$2, Volcado_Dist!$1:$1, 0))), 0)</f>
        <v>2.3298883568278928E-3</v>
      </c>
      <c r="W118" s="16">
        <f t="shared" si="3"/>
        <v>1.2113532423547381E-3</v>
      </c>
      <c r="X118" s="17">
        <f>IFERROR(SUM(_xlfn.XLOOKUP($B118, Volcado_Vend!$A:$A, Volcado_Vend!$C:$ZZ, 0)) / SUM(Volcado_Vend!$C:$ZZ), 0)</f>
        <v>1.82553848683217E-4</v>
      </c>
      <c r="Y118" s="24">
        <f t="shared" si="2"/>
        <v>6.9695354551897759E-4</v>
      </c>
    </row>
    <row r="119" spans="2:25" x14ac:dyDescent="0.25">
      <c r="B119" s="15" t="s">
        <v>143</v>
      </c>
      <c r="C119" s="16">
        <f>IFERROR(INDEX(Volcado_Dist!$A:$ZZ, MATCH($B119, Volcado_Dist!$A:$A, 0), MATCH(C$2, Volcado_Dist!$1:$1, 0)) / SUM(INDEX(Volcado_Dist!$A:$ZZ, 0, MATCH(C$2, Volcado_Dist!$1:$1, 0))), 0)</f>
        <v>0</v>
      </c>
      <c r="D119" s="16">
        <f>IFERROR(INDEX(Volcado_Dist!$A:$ZZ, MATCH($B119, Volcado_Dist!$A:$A, 0), MATCH(D$2, Volcado_Dist!$1:$1, 0)) / SUM(INDEX(Volcado_Dist!$A:$ZZ, 0, MATCH(D$2, Volcado_Dist!$1:$1, 0))), 0)</f>
        <v>0</v>
      </c>
      <c r="E119" s="16">
        <f>IFERROR(INDEX(Volcado_Dist!$A:$ZZ, MATCH($B119, Volcado_Dist!$A:$A, 0), MATCH(E$2, Volcado_Dist!$1:$1, 0)) / SUM(INDEX(Volcado_Dist!$A:$ZZ, 0, MATCH(E$2, Volcado_Dist!$1:$1, 0))), 0)</f>
        <v>0</v>
      </c>
      <c r="F119" s="16">
        <f>IFERROR(INDEX(Volcado_Dist!$A:$ZZ, MATCH($B119, Volcado_Dist!$A:$A, 0), MATCH(F$2, Volcado_Dist!$1:$1, 0)) / SUM(INDEX(Volcado_Dist!$A:$ZZ, 0, MATCH(F$2, Volcado_Dist!$1:$1, 0))), 0)</f>
        <v>-2.1120268135059234E-4</v>
      </c>
      <c r="G119" s="16">
        <f>IFERROR(INDEX(Volcado_Dist!$A:$ZZ, MATCH($B119, Volcado_Dist!$A:$A, 0), MATCH(G$2, Volcado_Dist!$1:$1, 0)) / SUM(INDEX(Volcado_Dist!$A:$ZZ, 0, MATCH(G$2, Volcado_Dist!$1:$1, 0))), 0)</f>
        <v>0</v>
      </c>
      <c r="H119" s="16">
        <f>IFERROR(INDEX(Volcado_Dist!$A:$ZZ, MATCH($B119, Volcado_Dist!$A:$A, 0), MATCH(H$2, Volcado_Dist!$1:$1, 0)) / SUM(INDEX(Volcado_Dist!$A:$ZZ, 0, MATCH(H$2, Volcado_Dist!$1:$1, 0))), 0)</f>
        <v>0</v>
      </c>
      <c r="I119" s="16">
        <f>IFERROR(INDEX(Volcado_Dist!$A:$ZZ, MATCH($B119, Volcado_Dist!$A:$A, 0), MATCH(I$2, Volcado_Dist!$1:$1, 0)) / SUM(INDEX(Volcado_Dist!$A:$ZZ, 0, MATCH(I$2, Volcado_Dist!$1:$1, 0))), 0)</f>
        <v>0</v>
      </c>
      <c r="J119" s="16">
        <f>IFERROR(INDEX(Volcado_Dist!$A:$ZZ, MATCH($B119, Volcado_Dist!$A:$A, 0), MATCH(J$2, Volcado_Dist!$1:$1, 0)) / SUM(INDEX(Volcado_Dist!$A:$ZZ, 0, MATCH(J$2, Volcado_Dist!$1:$1, 0))), 0)</f>
        <v>0</v>
      </c>
      <c r="K119" s="16">
        <f>IFERROR(INDEX(Volcado_Dist!$A:$ZZ, MATCH($B119, Volcado_Dist!$A:$A, 0), MATCH(K$2, Volcado_Dist!$1:$1, 0)) / SUM(INDEX(Volcado_Dist!$A:$ZZ, 0, MATCH(K$2, Volcado_Dist!$1:$1, 0))), 0)</f>
        <v>6.8428942005132852E-3</v>
      </c>
      <c r="L119" s="16">
        <f>IFERROR(INDEX(Volcado_Dist!$A:$ZZ, MATCH($B119, Volcado_Dist!$A:$A, 0), MATCH(L$2, Volcado_Dist!$1:$1, 0)) / SUM(INDEX(Volcado_Dist!$A:$ZZ, 0, MATCH(L$2, Volcado_Dist!$1:$1, 0))), 0)</f>
        <v>0</v>
      </c>
      <c r="M119" s="16">
        <f>IFERROR(INDEX(Volcado_Dist!$A:$ZZ, MATCH($B119, Volcado_Dist!$A:$A, 0), MATCH(M$2, Volcado_Dist!$1:$1, 0)) / SUM(INDEX(Volcado_Dist!$A:$ZZ, 0, MATCH(M$2, Volcado_Dist!$1:$1, 0))), 0)</f>
        <v>0</v>
      </c>
      <c r="N119" s="16">
        <f>IFERROR(INDEX(Volcado_Dist!$A:$ZZ, MATCH($B119, Volcado_Dist!$A:$A, 0), MATCH(N$2, Volcado_Dist!$1:$1, 0)) / SUM(INDEX(Volcado_Dist!$A:$ZZ, 0, MATCH(N$2, Volcado_Dist!$1:$1, 0))), 0)</f>
        <v>0</v>
      </c>
      <c r="O119" s="16">
        <f>IFERROR(INDEX(Volcado_Dist!$A:$ZZ, MATCH($B119, Volcado_Dist!$A:$A, 0), MATCH(O$2, Volcado_Dist!$1:$1, 0)) / SUM(INDEX(Volcado_Dist!$A:$ZZ, 0, MATCH(O$2, Volcado_Dist!$1:$1, 0))), 0)</f>
        <v>2.0492497393202996E-2</v>
      </c>
      <c r="P119" s="16">
        <f>IFERROR(INDEX(Volcado_Dist!$A:$ZZ, MATCH($B119, Volcado_Dist!$A:$A, 0), MATCH(P$2, Volcado_Dist!$1:$1, 0)) / SUM(INDEX(Volcado_Dist!$A:$ZZ, 0, MATCH(P$2, Volcado_Dist!$1:$1, 0))), 0)</f>
        <v>6.0436443724509493E-3</v>
      </c>
      <c r="Q119" s="16">
        <f>IFERROR(INDEX(Volcado_Dist!$A:$ZZ, MATCH($B119, Volcado_Dist!$A:$A, 0), MATCH(Q$2, Volcado_Dist!$1:$1, 0)) / SUM(INDEX(Volcado_Dist!$A:$ZZ, 0, MATCH(Q$2, Volcado_Dist!$1:$1, 0))), 0)</f>
        <v>0</v>
      </c>
      <c r="R119" s="16">
        <f>IFERROR(INDEX(Volcado_Dist!$A:$ZZ, MATCH($B119, Volcado_Dist!$A:$A, 0), MATCH(R$2, Volcado_Dist!$1:$1, 0)) / SUM(INDEX(Volcado_Dist!$A:$ZZ, 0, MATCH(R$2, Volcado_Dist!$1:$1, 0))), 0)</f>
        <v>0</v>
      </c>
      <c r="S119" s="16">
        <f>IFERROR(INDEX(Volcado_Dist!$A:$ZZ, MATCH($B119, Volcado_Dist!$A:$A, 0), MATCH(S$2, Volcado_Dist!$1:$1, 0)) / SUM(INDEX(Volcado_Dist!$A:$ZZ, 0, MATCH(S$2, Volcado_Dist!$1:$1, 0))), 0)</f>
        <v>1.1476774668344193E-2</v>
      </c>
      <c r="T119" s="16">
        <f>IFERROR(INDEX(Volcado_Dist!$A:$ZZ, MATCH($B119, Volcado_Dist!$A:$A, 0), MATCH(T$2, Volcado_Dist!$1:$1, 0)) / SUM(INDEX(Volcado_Dist!$A:$ZZ, 0, MATCH(T$2, Volcado_Dist!$1:$1, 0))), 0)</f>
        <v>1.1415883925439749E-4</v>
      </c>
      <c r="U119" s="16">
        <f>IFERROR(INDEX(Volcado_Dist!$A:$ZZ, MATCH($B119, Volcado_Dist!$A:$A, 0), MATCH(U$2, Volcado_Dist!$1:$1, 0)) / SUM(INDEX(Volcado_Dist!$A:$ZZ, 0, MATCH(U$2, Volcado_Dist!$1:$1, 0))), 0)</f>
        <v>0</v>
      </c>
      <c r="V119" s="16">
        <f>IFERROR(INDEX(Volcado_Dist!$A:$ZZ, MATCH($B119, Volcado_Dist!$A:$A, 0), MATCH(V$2, Volcado_Dist!$1:$1, 0)) / SUM(INDEX(Volcado_Dist!$A:$ZZ, 0, MATCH(V$2, Volcado_Dist!$1:$1, 0))), 0)</f>
        <v>0</v>
      </c>
      <c r="W119" s="16">
        <f t="shared" si="3"/>
        <v>2.2379383396207613E-3</v>
      </c>
      <c r="X119" s="17">
        <f>IFERROR(SUM(_xlfn.XLOOKUP($B119, Volcado_Vend!$A:$A, Volcado_Vend!$C:$ZZ, 0)) / SUM(Volcado_Vend!$C:$ZZ), 0)</f>
        <v>2.2922125072841761E-3</v>
      </c>
      <c r="Y119" s="24">
        <f t="shared" si="2"/>
        <v>2.2650754234524685E-3</v>
      </c>
    </row>
    <row r="120" spans="2:25" x14ac:dyDescent="0.25">
      <c r="B120" s="15" t="s">
        <v>144</v>
      </c>
      <c r="C120" s="16">
        <f>IFERROR(INDEX(Volcado_Dist!$A:$ZZ, MATCH($B120, Volcado_Dist!$A:$A, 0), MATCH(C$2, Volcado_Dist!$1:$1, 0)) / SUM(INDEX(Volcado_Dist!$A:$ZZ, 0, MATCH(C$2, Volcado_Dist!$1:$1, 0))), 0)</f>
        <v>4.0493849739744944E-3</v>
      </c>
      <c r="D120" s="16">
        <f>IFERROR(INDEX(Volcado_Dist!$A:$ZZ, MATCH($B120, Volcado_Dist!$A:$A, 0), MATCH(D$2, Volcado_Dist!$1:$1, 0)) / SUM(INDEX(Volcado_Dist!$A:$ZZ, 0, MATCH(D$2, Volcado_Dist!$1:$1, 0))), 0)</f>
        <v>0</v>
      </c>
      <c r="E120" s="16">
        <f>IFERROR(INDEX(Volcado_Dist!$A:$ZZ, MATCH($B120, Volcado_Dist!$A:$A, 0), MATCH(E$2, Volcado_Dist!$1:$1, 0)) / SUM(INDEX(Volcado_Dist!$A:$ZZ, 0, MATCH(E$2, Volcado_Dist!$1:$1, 0))), 0)</f>
        <v>-7.476763835494671E-4</v>
      </c>
      <c r="F120" s="16">
        <f>IFERROR(INDEX(Volcado_Dist!$A:$ZZ, MATCH($B120, Volcado_Dist!$A:$A, 0), MATCH(F$2, Volcado_Dist!$1:$1, 0)) / SUM(INDEX(Volcado_Dist!$A:$ZZ, 0, MATCH(F$2, Volcado_Dist!$1:$1, 0))), 0)</f>
        <v>6.2876699382756159E-4</v>
      </c>
      <c r="G120" s="16">
        <f>IFERROR(INDEX(Volcado_Dist!$A:$ZZ, MATCH($B120, Volcado_Dist!$A:$A, 0), MATCH(G$2, Volcado_Dist!$1:$1, 0)) / SUM(INDEX(Volcado_Dist!$A:$ZZ, 0, MATCH(G$2, Volcado_Dist!$1:$1, 0))), 0)</f>
        <v>0</v>
      </c>
      <c r="H120" s="16">
        <f>IFERROR(INDEX(Volcado_Dist!$A:$ZZ, MATCH($B120, Volcado_Dist!$A:$A, 0), MATCH(H$2, Volcado_Dist!$1:$1, 0)) / SUM(INDEX(Volcado_Dist!$A:$ZZ, 0, MATCH(H$2, Volcado_Dist!$1:$1, 0))), 0)</f>
        <v>0</v>
      </c>
      <c r="I120" s="16">
        <f>IFERROR(INDEX(Volcado_Dist!$A:$ZZ, MATCH($B120, Volcado_Dist!$A:$A, 0), MATCH(I$2, Volcado_Dist!$1:$1, 0)) / SUM(INDEX(Volcado_Dist!$A:$ZZ, 0, MATCH(I$2, Volcado_Dist!$1:$1, 0))), 0)</f>
        <v>1.909836339666205E-4</v>
      </c>
      <c r="J120" s="16">
        <f>IFERROR(INDEX(Volcado_Dist!$A:$ZZ, MATCH($B120, Volcado_Dist!$A:$A, 0), MATCH(J$2, Volcado_Dist!$1:$1, 0)) / SUM(INDEX(Volcado_Dist!$A:$ZZ, 0, MATCH(J$2, Volcado_Dist!$1:$1, 0))), 0)</f>
        <v>0</v>
      </c>
      <c r="K120" s="16">
        <f>IFERROR(INDEX(Volcado_Dist!$A:$ZZ, MATCH($B120, Volcado_Dist!$A:$A, 0), MATCH(K$2, Volcado_Dist!$1:$1, 0)) / SUM(INDEX(Volcado_Dist!$A:$ZZ, 0, MATCH(K$2, Volcado_Dist!$1:$1, 0))), 0)</f>
        <v>3.2902866088620723E-4</v>
      </c>
      <c r="L120" s="16">
        <f>IFERROR(INDEX(Volcado_Dist!$A:$ZZ, MATCH($B120, Volcado_Dist!$A:$A, 0), MATCH(L$2, Volcado_Dist!$1:$1, 0)) / SUM(INDEX(Volcado_Dist!$A:$ZZ, 0, MATCH(L$2, Volcado_Dist!$1:$1, 0))), 0)</f>
        <v>5.6196345143292008E-4</v>
      </c>
      <c r="M120" s="16">
        <f>IFERROR(INDEX(Volcado_Dist!$A:$ZZ, MATCH($B120, Volcado_Dist!$A:$A, 0), MATCH(M$2, Volcado_Dist!$1:$1, 0)) / SUM(INDEX(Volcado_Dist!$A:$ZZ, 0, MATCH(M$2, Volcado_Dist!$1:$1, 0))), 0)</f>
        <v>1.7408437386798208E-3</v>
      </c>
      <c r="N120" s="16">
        <f>IFERROR(INDEX(Volcado_Dist!$A:$ZZ, MATCH($B120, Volcado_Dist!$A:$A, 0), MATCH(N$2, Volcado_Dist!$1:$1, 0)) / SUM(INDEX(Volcado_Dist!$A:$ZZ, 0, MATCH(N$2, Volcado_Dist!$1:$1, 0))), 0)</f>
        <v>0</v>
      </c>
      <c r="O120" s="16">
        <f>IFERROR(INDEX(Volcado_Dist!$A:$ZZ, MATCH($B120, Volcado_Dist!$A:$A, 0), MATCH(O$2, Volcado_Dist!$1:$1, 0)) / SUM(INDEX(Volcado_Dist!$A:$ZZ, 0, MATCH(O$2, Volcado_Dist!$1:$1, 0))), 0)</f>
        <v>0</v>
      </c>
      <c r="P120" s="16">
        <f>IFERROR(INDEX(Volcado_Dist!$A:$ZZ, MATCH($B120, Volcado_Dist!$A:$A, 0), MATCH(P$2, Volcado_Dist!$1:$1, 0)) / SUM(INDEX(Volcado_Dist!$A:$ZZ, 0, MATCH(P$2, Volcado_Dist!$1:$1, 0))), 0)</f>
        <v>-6.9980107685704921E-5</v>
      </c>
      <c r="Q120" s="16">
        <f>IFERROR(INDEX(Volcado_Dist!$A:$ZZ, MATCH($B120, Volcado_Dist!$A:$A, 0), MATCH(Q$2, Volcado_Dist!$1:$1, 0)) / SUM(INDEX(Volcado_Dist!$A:$ZZ, 0, MATCH(Q$2, Volcado_Dist!$1:$1, 0))), 0)</f>
        <v>5.5699842428836037E-4</v>
      </c>
      <c r="R120" s="16">
        <f>IFERROR(INDEX(Volcado_Dist!$A:$ZZ, MATCH($B120, Volcado_Dist!$A:$A, 0), MATCH(R$2, Volcado_Dist!$1:$1, 0)) / SUM(INDEX(Volcado_Dist!$A:$ZZ, 0, MATCH(R$2, Volcado_Dist!$1:$1, 0))), 0)</f>
        <v>0</v>
      </c>
      <c r="S120" s="16">
        <f>IFERROR(INDEX(Volcado_Dist!$A:$ZZ, MATCH($B120, Volcado_Dist!$A:$A, 0), MATCH(S$2, Volcado_Dist!$1:$1, 0)) / SUM(INDEX(Volcado_Dist!$A:$ZZ, 0, MATCH(S$2, Volcado_Dist!$1:$1, 0))), 0)</f>
        <v>0</v>
      </c>
      <c r="T120" s="16">
        <f>IFERROR(INDEX(Volcado_Dist!$A:$ZZ, MATCH($B120, Volcado_Dist!$A:$A, 0), MATCH(T$2, Volcado_Dist!$1:$1, 0)) / SUM(INDEX(Volcado_Dist!$A:$ZZ, 0, MATCH(T$2, Volcado_Dist!$1:$1, 0))), 0)</f>
        <v>0</v>
      </c>
      <c r="U120" s="16">
        <f>IFERROR(INDEX(Volcado_Dist!$A:$ZZ, MATCH($B120, Volcado_Dist!$A:$A, 0), MATCH(U$2, Volcado_Dist!$1:$1, 0)) / SUM(INDEX(Volcado_Dist!$A:$ZZ, 0, MATCH(U$2, Volcado_Dist!$1:$1, 0))), 0)</f>
        <v>0</v>
      </c>
      <c r="V120" s="16">
        <f>IFERROR(INDEX(Volcado_Dist!$A:$ZZ, MATCH($B120, Volcado_Dist!$A:$A, 0), MATCH(V$2, Volcado_Dist!$1:$1, 0)) / SUM(INDEX(Volcado_Dist!$A:$ZZ, 0, MATCH(V$2, Volcado_Dist!$1:$1, 0))), 0)</f>
        <v>4.363353258588624E-4</v>
      </c>
      <c r="W120" s="16">
        <f t="shared" si="3"/>
        <v>3.8383243558398373E-4</v>
      </c>
      <c r="X120" s="17">
        <f>IFERROR(SUM(_xlfn.XLOOKUP($B120, Volcado_Vend!$A:$A, Volcado_Vend!$C:$ZZ, 0)) / SUM(Volcado_Vend!$C:$ZZ), 0)</f>
        <v>0</v>
      </c>
      <c r="Y120" s="24">
        <f t="shared" si="2"/>
        <v>1.9191621779199186E-4</v>
      </c>
    </row>
    <row r="121" spans="2:25" x14ac:dyDescent="0.25">
      <c r="B121" s="15" t="s">
        <v>145</v>
      </c>
      <c r="C121" s="16">
        <f>IFERROR(INDEX(Volcado_Dist!$A:$ZZ, MATCH($B121, Volcado_Dist!$A:$A, 0), MATCH(C$2, Volcado_Dist!$1:$1, 0)) / SUM(INDEX(Volcado_Dist!$A:$ZZ, 0, MATCH(C$2, Volcado_Dist!$1:$1, 0))), 0)</f>
        <v>2.1686189934633196E-3</v>
      </c>
      <c r="D121" s="16">
        <f>IFERROR(INDEX(Volcado_Dist!$A:$ZZ, MATCH($B121, Volcado_Dist!$A:$A, 0), MATCH(D$2, Volcado_Dist!$1:$1, 0)) / SUM(INDEX(Volcado_Dist!$A:$ZZ, 0, MATCH(D$2, Volcado_Dist!$1:$1, 0))), 0)</f>
        <v>0</v>
      </c>
      <c r="E121" s="16">
        <f>IFERROR(INDEX(Volcado_Dist!$A:$ZZ, MATCH($B121, Volcado_Dist!$A:$A, 0), MATCH(E$2, Volcado_Dist!$1:$1, 0)) / SUM(INDEX(Volcado_Dist!$A:$ZZ, 0, MATCH(E$2, Volcado_Dist!$1:$1, 0))), 0)</f>
        <v>2.923795952636356E-3</v>
      </c>
      <c r="F121" s="16">
        <f>IFERROR(INDEX(Volcado_Dist!$A:$ZZ, MATCH($B121, Volcado_Dist!$A:$A, 0), MATCH(F$2, Volcado_Dist!$1:$1, 0)) / SUM(INDEX(Volcado_Dist!$A:$ZZ, 0, MATCH(F$2, Volcado_Dist!$1:$1, 0))), 0)</f>
        <v>2.3091760259092136E-3</v>
      </c>
      <c r="G121" s="16">
        <f>IFERROR(INDEX(Volcado_Dist!$A:$ZZ, MATCH($B121, Volcado_Dist!$A:$A, 0), MATCH(G$2, Volcado_Dist!$1:$1, 0)) / SUM(INDEX(Volcado_Dist!$A:$ZZ, 0, MATCH(G$2, Volcado_Dist!$1:$1, 0))), 0)</f>
        <v>0</v>
      </c>
      <c r="H121" s="16">
        <f>IFERROR(INDEX(Volcado_Dist!$A:$ZZ, MATCH($B121, Volcado_Dist!$A:$A, 0), MATCH(H$2, Volcado_Dist!$1:$1, 0)) / SUM(INDEX(Volcado_Dist!$A:$ZZ, 0, MATCH(H$2, Volcado_Dist!$1:$1, 0))), 0)</f>
        <v>0</v>
      </c>
      <c r="I121" s="16">
        <f>IFERROR(INDEX(Volcado_Dist!$A:$ZZ, MATCH($B121, Volcado_Dist!$A:$A, 0), MATCH(I$2, Volcado_Dist!$1:$1, 0)) / SUM(INDEX(Volcado_Dist!$A:$ZZ, 0, MATCH(I$2, Volcado_Dist!$1:$1, 0))), 0)</f>
        <v>7.4311915107555682E-3</v>
      </c>
      <c r="J121" s="16">
        <f>IFERROR(INDEX(Volcado_Dist!$A:$ZZ, MATCH($B121, Volcado_Dist!$A:$A, 0), MATCH(J$2, Volcado_Dist!$1:$1, 0)) / SUM(INDEX(Volcado_Dist!$A:$ZZ, 0, MATCH(J$2, Volcado_Dist!$1:$1, 0))), 0)</f>
        <v>0</v>
      </c>
      <c r="K121" s="16">
        <f>IFERROR(INDEX(Volcado_Dist!$A:$ZZ, MATCH($B121, Volcado_Dist!$A:$A, 0), MATCH(K$2, Volcado_Dist!$1:$1, 0)) / SUM(INDEX(Volcado_Dist!$A:$ZZ, 0, MATCH(K$2, Volcado_Dist!$1:$1, 0))), 0)</f>
        <v>1.3178925139341623E-3</v>
      </c>
      <c r="L121" s="16">
        <f>IFERROR(INDEX(Volcado_Dist!$A:$ZZ, MATCH($B121, Volcado_Dist!$A:$A, 0), MATCH(L$2, Volcado_Dist!$1:$1, 0)) / SUM(INDEX(Volcado_Dist!$A:$ZZ, 0, MATCH(L$2, Volcado_Dist!$1:$1, 0))), 0)</f>
        <v>0</v>
      </c>
      <c r="M121" s="16">
        <f>IFERROR(INDEX(Volcado_Dist!$A:$ZZ, MATCH($B121, Volcado_Dist!$A:$A, 0), MATCH(M$2, Volcado_Dist!$1:$1, 0)) / SUM(INDEX(Volcado_Dist!$A:$ZZ, 0, MATCH(M$2, Volcado_Dist!$1:$1, 0))), 0)</f>
        <v>4.5548473597445773E-4</v>
      </c>
      <c r="N121" s="16">
        <f>IFERROR(INDEX(Volcado_Dist!$A:$ZZ, MATCH($B121, Volcado_Dist!$A:$A, 0), MATCH(N$2, Volcado_Dist!$1:$1, 0)) / SUM(INDEX(Volcado_Dist!$A:$ZZ, 0, MATCH(N$2, Volcado_Dist!$1:$1, 0))), 0)</f>
        <v>0</v>
      </c>
      <c r="O121" s="16">
        <f>IFERROR(INDEX(Volcado_Dist!$A:$ZZ, MATCH($B121, Volcado_Dist!$A:$A, 0), MATCH(O$2, Volcado_Dist!$1:$1, 0)) / SUM(INDEX(Volcado_Dist!$A:$ZZ, 0, MATCH(O$2, Volcado_Dist!$1:$1, 0))), 0)</f>
        <v>8.0437899062458795E-3</v>
      </c>
      <c r="P121" s="16">
        <f>IFERROR(INDEX(Volcado_Dist!$A:$ZZ, MATCH($B121, Volcado_Dist!$A:$A, 0), MATCH(P$2, Volcado_Dist!$1:$1, 0)) / SUM(INDEX(Volcado_Dist!$A:$ZZ, 0, MATCH(P$2, Volcado_Dist!$1:$1, 0))), 0)</f>
        <v>2.2416432107280394E-3</v>
      </c>
      <c r="Q121" s="16">
        <f>IFERROR(INDEX(Volcado_Dist!$A:$ZZ, MATCH($B121, Volcado_Dist!$A:$A, 0), MATCH(Q$2, Volcado_Dist!$1:$1, 0)) / SUM(INDEX(Volcado_Dist!$A:$ZZ, 0, MATCH(Q$2, Volcado_Dist!$1:$1, 0))), 0)</f>
        <v>-1.799577724848833E-3</v>
      </c>
      <c r="R121" s="16">
        <f>IFERROR(INDEX(Volcado_Dist!$A:$ZZ, MATCH($B121, Volcado_Dist!$A:$A, 0), MATCH(R$2, Volcado_Dist!$1:$1, 0)) / SUM(INDEX(Volcado_Dist!$A:$ZZ, 0, MATCH(R$2, Volcado_Dist!$1:$1, 0))), 0)</f>
        <v>0</v>
      </c>
      <c r="S121" s="16">
        <f>IFERROR(INDEX(Volcado_Dist!$A:$ZZ, MATCH($B121, Volcado_Dist!$A:$A, 0), MATCH(S$2, Volcado_Dist!$1:$1, 0)) / SUM(INDEX(Volcado_Dist!$A:$ZZ, 0, MATCH(S$2, Volcado_Dist!$1:$1, 0))), 0)</f>
        <v>-2.4824492684643406E-5</v>
      </c>
      <c r="T121" s="16">
        <f>IFERROR(INDEX(Volcado_Dist!$A:$ZZ, MATCH($B121, Volcado_Dist!$A:$A, 0), MATCH(T$2, Volcado_Dist!$1:$1, 0)) / SUM(INDEX(Volcado_Dist!$A:$ZZ, 0, MATCH(T$2, Volcado_Dist!$1:$1, 0))), 0)</f>
        <v>6.4909768045895233E-3</v>
      </c>
      <c r="U121" s="16">
        <f>IFERROR(INDEX(Volcado_Dist!$A:$ZZ, MATCH($B121, Volcado_Dist!$A:$A, 0), MATCH(U$2, Volcado_Dist!$1:$1, 0)) / SUM(INDEX(Volcado_Dist!$A:$ZZ, 0, MATCH(U$2, Volcado_Dist!$1:$1, 0))), 0)</f>
        <v>7.2793479814041646E-4</v>
      </c>
      <c r="V121" s="16">
        <f>IFERROR(INDEX(Volcado_Dist!$A:$ZZ, MATCH($B121, Volcado_Dist!$A:$A, 0), MATCH(V$2, Volcado_Dist!$1:$1, 0)) / SUM(INDEX(Volcado_Dist!$A:$ZZ, 0, MATCH(V$2, Volcado_Dist!$1:$1, 0))), 0)</f>
        <v>1.7709286787343207E-3</v>
      </c>
      <c r="W121" s="16">
        <f t="shared" si="3"/>
        <v>1.7028515456788892E-3</v>
      </c>
      <c r="X121" s="17">
        <f>IFERROR(SUM(_xlfn.XLOOKUP($B121, Volcado_Vend!$A:$A, Volcado_Vend!$C:$ZZ, 0)) / SUM(Volcado_Vend!$C:$ZZ), 0)</f>
        <v>1.697750792753918E-4</v>
      </c>
      <c r="Y121" s="24">
        <f t="shared" si="2"/>
        <v>9.3631331247714055E-4</v>
      </c>
    </row>
    <row r="122" spans="2:25" x14ac:dyDescent="0.25">
      <c r="B122" s="15" t="s">
        <v>146</v>
      </c>
      <c r="C122" s="16">
        <f>IFERROR(INDEX(Volcado_Dist!$A:$ZZ, MATCH($B122, Volcado_Dist!$A:$A, 0), MATCH(C$2, Volcado_Dist!$1:$1, 0)) / SUM(INDEX(Volcado_Dist!$A:$ZZ, 0, MATCH(C$2, Volcado_Dist!$1:$1, 0))), 0)</f>
        <v>0</v>
      </c>
      <c r="D122" s="16">
        <f>IFERROR(INDEX(Volcado_Dist!$A:$ZZ, MATCH($B122, Volcado_Dist!$A:$A, 0), MATCH(D$2, Volcado_Dist!$1:$1, 0)) / SUM(INDEX(Volcado_Dist!$A:$ZZ, 0, MATCH(D$2, Volcado_Dist!$1:$1, 0))), 0)</f>
        <v>0</v>
      </c>
      <c r="E122" s="16">
        <f>IFERROR(INDEX(Volcado_Dist!$A:$ZZ, MATCH($B122, Volcado_Dist!$A:$A, 0), MATCH(E$2, Volcado_Dist!$1:$1, 0)) / SUM(INDEX(Volcado_Dist!$A:$ZZ, 0, MATCH(E$2, Volcado_Dist!$1:$1, 0))), 0)</f>
        <v>-7.4952989098389558E-4</v>
      </c>
      <c r="F122" s="16">
        <f>IFERROR(INDEX(Volcado_Dist!$A:$ZZ, MATCH($B122, Volcado_Dist!$A:$A, 0), MATCH(F$2, Volcado_Dist!$1:$1, 0)) / SUM(INDEX(Volcado_Dist!$A:$ZZ, 0, MATCH(F$2, Volcado_Dist!$1:$1, 0))), 0)</f>
        <v>-8.1234721213409896E-4</v>
      </c>
      <c r="G122" s="16">
        <f>IFERROR(INDEX(Volcado_Dist!$A:$ZZ, MATCH($B122, Volcado_Dist!$A:$A, 0), MATCH(G$2, Volcado_Dist!$1:$1, 0)) / SUM(INDEX(Volcado_Dist!$A:$ZZ, 0, MATCH(G$2, Volcado_Dist!$1:$1, 0))), 0)</f>
        <v>0</v>
      </c>
      <c r="H122" s="16">
        <f>IFERROR(INDEX(Volcado_Dist!$A:$ZZ, MATCH($B122, Volcado_Dist!$A:$A, 0), MATCH(H$2, Volcado_Dist!$1:$1, 0)) / SUM(INDEX(Volcado_Dist!$A:$ZZ, 0, MATCH(H$2, Volcado_Dist!$1:$1, 0))), 0)</f>
        <v>0</v>
      </c>
      <c r="I122" s="16">
        <f>IFERROR(INDEX(Volcado_Dist!$A:$ZZ, MATCH($B122, Volcado_Dist!$A:$A, 0), MATCH(I$2, Volcado_Dist!$1:$1, 0)) / SUM(INDEX(Volcado_Dist!$A:$ZZ, 0, MATCH(I$2, Volcado_Dist!$1:$1, 0))), 0)</f>
        <v>-2.3526886115664684E-3</v>
      </c>
      <c r="J122" s="16">
        <f>IFERROR(INDEX(Volcado_Dist!$A:$ZZ, MATCH($B122, Volcado_Dist!$A:$A, 0), MATCH(J$2, Volcado_Dist!$1:$1, 0)) / SUM(INDEX(Volcado_Dist!$A:$ZZ, 0, MATCH(J$2, Volcado_Dist!$1:$1, 0))), 0)</f>
        <v>0</v>
      </c>
      <c r="K122" s="16">
        <f>IFERROR(INDEX(Volcado_Dist!$A:$ZZ, MATCH($B122, Volcado_Dist!$A:$A, 0), MATCH(K$2, Volcado_Dist!$1:$1, 0)) / SUM(INDEX(Volcado_Dist!$A:$ZZ, 0, MATCH(K$2, Volcado_Dist!$1:$1, 0))), 0)</f>
        <v>-3.257598635928846E-4</v>
      </c>
      <c r="L122" s="16">
        <f>IFERROR(INDEX(Volcado_Dist!$A:$ZZ, MATCH($B122, Volcado_Dist!$A:$A, 0), MATCH(L$2, Volcado_Dist!$1:$1, 0)) / SUM(INDEX(Volcado_Dist!$A:$ZZ, 0, MATCH(L$2, Volcado_Dist!$1:$1, 0))), 0)</f>
        <v>0</v>
      </c>
      <c r="M122" s="16">
        <f>IFERROR(INDEX(Volcado_Dist!$A:$ZZ, MATCH($B122, Volcado_Dist!$A:$A, 0), MATCH(M$2, Volcado_Dist!$1:$1, 0)) / SUM(INDEX(Volcado_Dist!$A:$ZZ, 0, MATCH(M$2, Volcado_Dist!$1:$1, 0))), 0)</f>
        <v>0</v>
      </c>
      <c r="N122" s="16">
        <f>IFERROR(INDEX(Volcado_Dist!$A:$ZZ, MATCH($B122, Volcado_Dist!$A:$A, 0), MATCH(N$2, Volcado_Dist!$1:$1, 0)) / SUM(INDEX(Volcado_Dist!$A:$ZZ, 0, MATCH(N$2, Volcado_Dist!$1:$1, 0))), 0)</f>
        <v>0</v>
      </c>
      <c r="O122" s="16">
        <f>IFERROR(INDEX(Volcado_Dist!$A:$ZZ, MATCH($B122, Volcado_Dist!$A:$A, 0), MATCH(O$2, Volcado_Dist!$1:$1, 0)) / SUM(INDEX(Volcado_Dist!$A:$ZZ, 0, MATCH(O$2, Volcado_Dist!$1:$1, 0))), 0)</f>
        <v>0</v>
      </c>
      <c r="P122" s="16">
        <f>IFERROR(INDEX(Volcado_Dist!$A:$ZZ, MATCH($B122, Volcado_Dist!$A:$A, 0), MATCH(P$2, Volcado_Dist!$1:$1, 0)) / SUM(INDEX(Volcado_Dist!$A:$ZZ, 0, MATCH(P$2, Volcado_Dist!$1:$1, 0))), 0)</f>
        <v>0</v>
      </c>
      <c r="Q122" s="16">
        <f>IFERROR(INDEX(Volcado_Dist!$A:$ZZ, MATCH($B122, Volcado_Dist!$A:$A, 0), MATCH(Q$2, Volcado_Dist!$1:$1, 0)) / SUM(INDEX(Volcado_Dist!$A:$ZZ, 0, MATCH(Q$2, Volcado_Dist!$1:$1, 0))), 0)</f>
        <v>0</v>
      </c>
      <c r="R122" s="16">
        <f>IFERROR(INDEX(Volcado_Dist!$A:$ZZ, MATCH($B122, Volcado_Dist!$A:$A, 0), MATCH(R$2, Volcado_Dist!$1:$1, 0)) / SUM(INDEX(Volcado_Dist!$A:$ZZ, 0, MATCH(R$2, Volcado_Dist!$1:$1, 0))), 0)</f>
        <v>0</v>
      </c>
      <c r="S122" s="16">
        <f>IFERROR(INDEX(Volcado_Dist!$A:$ZZ, MATCH($B122, Volcado_Dist!$A:$A, 0), MATCH(S$2, Volcado_Dist!$1:$1, 0)) / SUM(INDEX(Volcado_Dist!$A:$ZZ, 0, MATCH(S$2, Volcado_Dist!$1:$1, 0))), 0)</f>
        <v>-4.4589756768404536E-5</v>
      </c>
      <c r="T122" s="16">
        <f>IFERROR(INDEX(Volcado_Dist!$A:$ZZ, MATCH($B122, Volcado_Dist!$A:$A, 0), MATCH(T$2, Volcado_Dist!$1:$1, 0)) / SUM(INDEX(Volcado_Dist!$A:$ZZ, 0, MATCH(T$2, Volcado_Dist!$1:$1, 0))), 0)</f>
        <v>0</v>
      </c>
      <c r="U122" s="16">
        <f>IFERROR(INDEX(Volcado_Dist!$A:$ZZ, MATCH($B122, Volcado_Dist!$A:$A, 0), MATCH(U$2, Volcado_Dist!$1:$1, 0)) / SUM(INDEX(Volcado_Dist!$A:$ZZ, 0, MATCH(U$2, Volcado_Dist!$1:$1, 0))), 0)</f>
        <v>0</v>
      </c>
      <c r="V122" s="16">
        <f>IFERROR(INDEX(Volcado_Dist!$A:$ZZ, MATCH($B122, Volcado_Dist!$A:$A, 0), MATCH(V$2, Volcado_Dist!$1:$1, 0)) / SUM(INDEX(Volcado_Dist!$A:$ZZ, 0, MATCH(V$2, Volcado_Dist!$1:$1, 0))), 0)</f>
        <v>0</v>
      </c>
      <c r="W122" s="16">
        <f t="shared" si="3"/>
        <v>-2.1424576675228759E-4</v>
      </c>
      <c r="X122" s="17">
        <f>IFERROR(SUM(_xlfn.XLOOKUP($B122, Volcado_Vend!$A:$A, Volcado_Vend!$C:$ZZ, 0)) / SUM(Volcado_Vend!$C:$ZZ), 0)</f>
        <v>-1.6031547075271604E-4</v>
      </c>
      <c r="Y122" s="24">
        <f t="shared" si="2"/>
        <v>-1.8728061875250183E-4</v>
      </c>
    </row>
    <row r="123" spans="2:25" x14ac:dyDescent="0.25">
      <c r="B123" s="15" t="s">
        <v>147</v>
      </c>
      <c r="C123" s="16">
        <f>IFERROR(INDEX(Volcado_Dist!$A:$ZZ, MATCH($B123, Volcado_Dist!$A:$A, 0), MATCH(C$2, Volcado_Dist!$1:$1, 0)) / SUM(INDEX(Volcado_Dist!$A:$ZZ, 0, MATCH(C$2, Volcado_Dist!$1:$1, 0))), 0)</f>
        <v>3.4837826193100398E-3</v>
      </c>
      <c r="D123" s="16">
        <f>IFERROR(INDEX(Volcado_Dist!$A:$ZZ, MATCH($B123, Volcado_Dist!$A:$A, 0), MATCH(D$2, Volcado_Dist!$1:$1, 0)) / SUM(INDEX(Volcado_Dist!$A:$ZZ, 0, MATCH(D$2, Volcado_Dist!$1:$1, 0))), 0)</f>
        <v>0</v>
      </c>
      <c r="E123" s="16">
        <f>IFERROR(INDEX(Volcado_Dist!$A:$ZZ, MATCH($B123, Volcado_Dist!$A:$A, 0), MATCH(E$2, Volcado_Dist!$1:$1, 0)) / SUM(INDEX(Volcado_Dist!$A:$ZZ, 0, MATCH(E$2, Volcado_Dist!$1:$1, 0))), 0)</f>
        <v>-5.7487245966274811E-4</v>
      </c>
      <c r="F123" s="16">
        <f>IFERROR(INDEX(Volcado_Dist!$A:$ZZ, MATCH($B123, Volcado_Dist!$A:$A, 0), MATCH(F$2, Volcado_Dist!$1:$1, 0)) / SUM(INDEX(Volcado_Dist!$A:$ZZ, 0, MATCH(F$2, Volcado_Dist!$1:$1, 0))), 0)</f>
        <v>2.2830487779955246E-2</v>
      </c>
      <c r="G123" s="16">
        <f>IFERROR(INDEX(Volcado_Dist!$A:$ZZ, MATCH($B123, Volcado_Dist!$A:$A, 0), MATCH(G$2, Volcado_Dist!$1:$1, 0)) / SUM(INDEX(Volcado_Dist!$A:$ZZ, 0, MATCH(G$2, Volcado_Dist!$1:$1, 0))), 0)</f>
        <v>0</v>
      </c>
      <c r="H123" s="16">
        <f>IFERROR(INDEX(Volcado_Dist!$A:$ZZ, MATCH($B123, Volcado_Dist!$A:$A, 0), MATCH(H$2, Volcado_Dist!$1:$1, 0)) / SUM(INDEX(Volcado_Dist!$A:$ZZ, 0, MATCH(H$2, Volcado_Dist!$1:$1, 0))), 0)</f>
        <v>0</v>
      </c>
      <c r="I123" s="16">
        <f>IFERROR(INDEX(Volcado_Dist!$A:$ZZ, MATCH($B123, Volcado_Dist!$A:$A, 0), MATCH(I$2, Volcado_Dist!$1:$1, 0)) / SUM(INDEX(Volcado_Dist!$A:$ZZ, 0, MATCH(I$2, Volcado_Dist!$1:$1, 0))), 0)</f>
        <v>1.2526114969620547E-2</v>
      </c>
      <c r="J123" s="16">
        <f>IFERROR(INDEX(Volcado_Dist!$A:$ZZ, MATCH($B123, Volcado_Dist!$A:$A, 0), MATCH(J$2, Volcado_Dist!$1:$1, 0)) / SUM(INDEX(Volcado_Dist!$A:$ZZ, 0, MATCH(J$2, Volcado_Dist!$1:$1, 0))), 0)</f>
        <v>0</v>
      </c>
      <c r="K123" s="16">
        <f>IFERROR(INDEX(Volcado_Dist!$A:$ZZ, MATCH($B123, Volcado_Dist!$A:$A, 0), MATCH(K$2, Volcado_Dist!$1:$1, 0)) / SUM(INDEX(Volcado_Dist!$A:$ZZ, 0, MATCH(K$2, Volcado_Dist!$1:$1, 0))), 0)</f>
        <v>6.9387486544758084E-3</v>
      </c>
      <c r="L123" s="16">
        <f>IFERROR(INDEX(Volcado_Dist!$A:$ZZ, MATCH($B123, Volcado_Dist!$A:$A, 0), MATCH(L$2, Volcado_Dist!$1:$1, 0)) / SUM(INDEX(Volcado_Dist!$A:$ZZ, 0, MATCH(L$2, Volcado_Dist!$1:$1, 0))), 0)</f>
        <v>7.037777789412638E-3</v>
      </c>
      <c r="M123" s="16">
        <f>IFERROR(INDEX(Volcado_Dist!$A:$ZZ, MATCH($B123, Volcado_Dist!$A:$A, 0), MATCH(M$2, Volcado_Dist!$1:$1, 0)) / SUM(INDEX(Volcado_Dist!$A:$ZZ, 0, MATCH(M$2, Volcado_Dist!$1:$1, 0))), 0)</f>
        <v>-1.3955133231264873E-3</v>
      </c>
      <c r="N123" s="16">
        <f>IFERROR(INDEX(Volcado_Dist!$A:$ZZ, MATCH($B123, Volcado_Dist!$A:$A, 0), MATCH(N$2, Volcado_Dist!$1:$1, 0)) / SUM(INDEX(Volcado_Dist!$A:$ZZ, 0, MATCH(N$2, Volcado_Dist!$1:$1, 0))), 0)</f>
        <v>0</v>
      </c>
      <c r="O123" s="16">
        <f>IFERROR(INDEX(Volcado_Dist!$A:$ZZ, MATCH($B123, Volcado_Dist!$A:$A, 0), MATCH(O$2, Volcado_Dist!$1:$1, 0)) / SUM(INDEX(Volcado_Dist!$A:$ZZ, 0, MATCH(O$2, Volcado_Dist!$1:$1, 0))), 0)</f>
        <v>1.422061988902942E-2</v>
      </c>
      <c r="P123" s="16">
        <f>IFERROR(INDEX(Volcado_Dist!$A:$ZZ, MATCH($B123, Volcado_Dist!$A:$A, 0), MATCH(P$2, Volcado_Dist!$1:$1, 0)) / SUM(INDEX(Volcado_Dist!$A:$ZZ, 0, MATCH(P$2, Volcado_Dist!$1:$1, 0))), 0)</f>
        <v>9.7572385168980345E-3</v>
      </c>
      <c r="Q123" s="16">
        <f>IFERROR(INDEX(Volcado_Dist!$A:$ZZ, MATCH($B123, Volcado_Dist!$A:$A, 0), MATCH(Q$2, Volcado_Dist!$1:$1, 0)) / SUM(INDEX(Volcado_Dist!$A:$ZZ, 0, MATCH(Q$2, Volcado_Dist!$1:$1, 0))), 0)</f>
        <v>1.305767773460784E-2</v>
      </c>
      <c r="R123" s="16">
        <f>IFERROR(INDEX(Volcado_Dist!$A:$ZZ, MATCH($B123, Volcado_Dist!$A:$A, 0), MATCH(R$2, Volcado_Dist!$1:$1, 0)) / SUM(INDEX(Volcado_Dist!$A:$ZZ, 0, MATCH(R$2, Volcado_Dist!$1:$1, 0))), 0)</f>
        <v>0</v>
      </c>
      <c r="S123" s="16">
        <f>IFERROR(INDEX(Volcado_Dist!$A:$ZZ, MATCH($B123, Volcado_Dist!$A:$A, 0), MATCH(S$2, Volcado_Dist!$1:$1, 0)) / SUM(INDEX(Volcado_Dist!$A:$ZZ, 0, MATCH(S$2, Volcado_Dist!$1:$1, 0))), 0)</f>
        <v>6.5116762977948557E-3</v>
      </c>
      <c r="T123" s="16">
        <f>IFERROR(INDEX(Volcado_Dist!$A:$ZZ, MATCH($B123, Volcado_Dist!$A:$A, 0), MATCH(T$2, Volcado_Dist!$1:$1, 0)) / SUM(INDEX(Volcado_Dist!$A:$ZZ, 0, MATCH(T$2, Volcado_Dist!$1:$1, 0))), 0)</f>
        <v>1.0727644499086336E-2</v>
      </c>
      <c r="U123" s="16">
        <f>IFERROR(INDEX(Volcado_Dist!$A:$ZZ, MATCH($B123, Volcado_Dist!$A:$A, 0), MATCH(U$2, Volcado_Dist!$1:$1, 0)) / SUM(INDEX(Volcado_Dist!$A:$ZZ, 0, MATCH(U$2, Volcado_Dist!$1:$1, 0))), 0)</f>
        <v>2.2657011558815717E-2</v>
      </c>
      <c r="V123" s="16">
        <f>IFERROR(INDEX(Volcado_Dist!$A:$ZZ, MATCH($B123, Volcado_Dist!$A:$A, 0), MATCH(V$2, Volcado_Dist!$1:$1, 0)) / SUM(INDEX(Volcado_Dist!$A:$ZZ, 0, MATCH(V$2, Volcado_Dist!$1:$1, 0))), 0)</f>
        <v>1.0291921167750212E-2</v>
      </c>
      <c r="W123" s="16">
        <f t="shared" si="3"/>
        <v>6.9035157846983729E-3</v>
      </c>
      <c r="X123" s="17">
        <f>IFERROR(SUM(_xlfn.XLOOKUP($B123, Volcado_Vend!$A:$A, Volcado_Vend!$C:$ZZ, 0)) / SUM(Volcado_Vend!$C:$ZZ), 0)</f>
        <v>6.0474441963310227E-2</v>
      </c>
      <c r="Y123" s="24">
        <f t="shared" si="2"/>
        <v>3.3688978874004301E-2</v>
      </c>
    </row>
    <row r="124" spans="2:25" x14ac:dyDescent="0.25">
      <c r="B124" s="15" t="s">
        <v>148</v>
      </c>
      <c r="C124" s="16">
        <f>IFERROR(INDEX(Volcado_Dist!$A:$ZZ, MATCH($B124, Volcado_Dist!$A:$A, 0), MATCH(C$2, Volcado_Dist!$1:$1, 0)) / SUM(INDEX(Volcado_Dist!$A:$ZZ, 0, MATCH(C$2, Volcado_Dist!$1:$1, 0))), 0)</f>
        <v>0</v>
      </c>
      <c r="D124" s="16">
        <f>IFERROR(INDEX(Volcado_Dist!$A:$ZZ, MATCH($B124, Volcado_Dist!$A:$A, 0), MATCH(D$2, Volcado_Dist!$1:$1, 0)) / SUM(INDEX(Volcado_Dist!$A:$ZZ, 0, MATCH(D$2, Volcado_Dist!$1:$1, 0))), 0)</f>
        <v>0</v>
      </c>
      <c r="E124" s="16">
        <f>IFERROR(INDEX(Volcado_Dist!$A:$ZZ, MATCH($B124, Volcado_Dist!$A:$A, 0), MATCH(E$2, Volcado_Dist!$1:$1, 0)) / SUM(INDEX(Volcado_Dist!$A:$ZZ, 0, MATCH(E$2, Volcado_Dist!$1:$1, 0))), 0)</f>
        <v>0</v>
      </c>
      <c r="F124" s="16">
        <f>IFERROR(INDEX(Volcado_Dist!$A:$ZZ, MATCH($B124, Volcado_Dist!$A:$A, 0), MATCH(F$2, Volcado_Dist!$1:$1, 0)) / SUM(INDEX(Volcado_Dist!$A:$ZZ, 0, MATCH(F$2, Volcado_Dist!$1:$1, 0))), 0)</f>
        <v>0</v>
      </c>
      <c r="G124" s="16">
        <f>IFERROR(INDEX(Volcado_Dist!$A:$ZZ, MATCH($B124, Volcado_Dist!$A:$A, 0), MATCH(G$2, Volcado_Dist!$1:$1, 0)) / SUM(INDEX(Volcado_Dist!$A:$ZZ, 0, MATCH(G$2, Volcado_Dist!$1:$1, 0))), 0)</f>
        <v>0</v>
      </c>
      <c r="H124" s="16">
        <f>IFERROR(INDEX(Volcado_Dist!$A:$ZZ, MATCH($B124, Volcado_Dist!$A:$A, 0), MATCH(H$2, Volcado_Dist!$1:$1, 0)) / SUM(INDEX(Volcado_Dist!$A:$ZZ, 0, MATCH(H$2, Volcado_Dist!$1:$1, 0))), 0)</f>
        <v>0</v>
      </c>
      <c r="I124" s="16">
        <f>IFERROR(INDEX(Volcado_Dist!$A:$ZZ, MATCH($B124, Volcado_Dist!$A:$A, 0), MATCH(I$2, Volcado_Dist!$1:$1, 0)) / SUM(INDEX(Volcado_Dist!$A:$ZZ, 0, MATCH(I$2, Volcado_Dist!$1:$1, 0))), 0)</f>
        <v>0</v>
      </c>
      <c r="J124" s="16">
        <f>IFERROR(INDEX(Volcado_Dist!$A:$ZZ, MATCH($B124, Volcado_Dist!$A:$A, 0), MATCH(J$2, Volcado_Dist!$1:$1, 0)) / SUM(INDEX(Volcado_Dist!$A:$ZZ, 0, MATCH(J$2, Volcado_Dist!$1:$1, 0))), 0)</f>
        <v>0</v>
      </c>
      <c r="K124" s="16">
        <f>IFERROR(INDEX(Volcado_Dist!$A:$ZZ, MATCH($B124, Volcado_Dist!$A:$A, 0), MATCH(K$2, Volcado_Dist!$1:$1, 0)) / SUM(INDEX(Volcado_Dist!$A:$ZZ, 0, MATCH(K$2, Volcado_Dist!$1:$1, 0))), 0)</f>
        <v>0</v>
      </c>
      <c r="L124" s="16">
        <f>IFERROR(INDEX(Volcado_Dist!$A:$ZZ, MATCH($B124, Volcado_Dist!$A:$A, 0), MATCH(L$2, Volcado_Dist!$1:$1, 0)) / SUM(INDEX(Volcado_Dist!$A:$ZZ, 0, MATCH(L$2, Volcado_Dist!$1:$1, 0))), 0)</f>
        <v>0</v>
      </c>
      <c r="M124" s="16">
        <f>IFERROR(INDEX(Volcado_Dist!$A:$ZZ, MATCH($B124, Volcado_Dist!$A:$A, 0), MATCH(M$2, Volcado_Dist!$1:$1, 0)) / SUM(INDEX(Volcado_Dist!$A:$ZZ, 0, MATCH(M$2, Volcado_Dist!$1:$1, 0))), 0)</f>
        <v>0</v>
      </c>
      <c r="N124" s="16">
        <f>IFERROR(INDEX(Volcado_Dist!$A:$ZZ, MATCH($B124, Volcado_Dist!$A:$A, 0), MATCH(N$2, Volcado_Dist!$1:$1, 0)) / SUM(INDEX(Volcado_Dist!$A:$ZZ, 0, MATCH(N$2, Volcado_Dist!$1:$1, 0))), 0)</f>
        <v>0</v>
      </c>
      <c r="O124" s="16">
        <f>IFERROR(INDEX(Volcado_Dist!$A:$ZZ, MATCH($B124, Volcado_Dist!$A:$A, 0), MATCH(O$2, Volcado_Dist!$1:$1, 0)) / SUM(INDEX(Volcado_Dist!$A:$ZZ, 0, MATCH(O$2, Volcado_Dist!$1:$1, 0))), 0)</f>
        <v>0</v>
      </c>
      <c r="P124" s="16">
        <f>IFERROR(INDEX(Volcado_Dist!$A:$ZZ, MATCH($B124, Volcado_Dist!$A:$A, 0), MATCH(P$2, Volcado_Dist!$1:$1, 0)) / SUM(INDEX(Volcado_Dist!$A:$ZZ, 0, MATCH(P$2, Volcado_Dist!$1:$1, 0))), 0)</f>
        <v>3.5159087919387984E-5</v>
      </c>
      <c r="Q124" s="16">
        <f>IFERROR(INDEX(Volcado_Dist!$A:$ZZ, MATCH($B124, Volcado_Dist!$A:$A, 0), MATCH(Q$2, Volcado_Dist!$1:$1, 0)) / SUM(INDEX(Volcado_Dist!$A:$ZZ, 0, MATCH(Q$2, Volcado_Dist!$1:$1, 0))), 0)</f>
        <v>0</v>
      </c>
      <c r="R124" s="16">
        <f>IFERROR(INDEX(Volcado_Dist!$A:$ZZ, MATCH($B124, Volcado_Dist!$A:$A, 0), MATCH(R$2, Volcado_Dist!$1:$1, 0)) / SUM(INDEX(Volcado_Dist!$A:$ZZ, 0, MATCH(R$2, Volcado_Dist!$1:$1, 0))), 0)</f>
        <v>0</v>
      </c>
      <c r="S124" s="16">
        <f>IFERROR(INDEX(Volcado_Dist!$A:$ZZ, MATCH($B124, Volcado_Dist!$A:$A, 0), MATCH(S$2, Volcado_Dist!$1:$1, 0)) / SUM(INDEX(Volcado_Dist!$A:$ZZ, 0, MATCH(S$2, Volcado_Dist!$1:$1, 0))), 0)</f>
        <v>0</v>
      </c>
      <c r="T124" s="16">
        <f>IFERROR(INDEX(Volcado_Dist!$A:$ZZ, MATCH($B124, Volcado_Dist!$A:$A, 0), MATCH(T$2, Volcado_Dist!$1:$1, 0)) / SUM(INDEX(Volcado_Dist!$A:$ZZ, 0, MATCH(T$2, Volcado_Dist!$1:$1, 0))), 0)</f>
        <v>0</v>
      </c>
      <c r="U124" s="16">
        <f>IFERROR(INDEX(Volcado_Dist!$A:$ZZ, MATCH($B124, Volcado_Dist!$A:$A, 0), MATCH(U$2, Volcado_Dist!$1:$1, 0)) / SUM(INDEX(Volcado_Dist!$A:$ZZ, 0, MATCH(U$2, Volcado_Dist!$1:$1, 0))), 0)</f>
        <v>0</v>
      </c>
      <c r="V124" s="16">
        <f>IFERROR(INDEX(Volcado_Dist!$A:$ZZ, MATCH($B124, Volcado_Dist!$A:$A, 0), MATCH(V$2, Volcado_Dist!$1:$1, 0)) / SUM(INDEX(Volcado_Dist!$A:$ZZ, 0, MATCH(V$2, Volcado_Dist!$1:$1, 0))), 0)</f>
        <v>0</v>
      </c>
      <c r="W124" s="16">
        <f t="shared" si="3"/>
        <v>1.7579543959693991E-6</v>
      </c>
      <c r="X124" s="17">
        <f>IFERROR(SUM(_xlfn.XLOOKUP($B124, Volcado_Vend!$A:$A, Volcado_Vend!$C:$ZZ, 0)) / SUM(Volcado_Vend!$C:$ZZ), 0)</f>
        <v>1.239706590603301E-3</v>
      </c>
      <c r="Y124" s="24">
        <f t="shared" si="2"/>
        <v>6.2073227249963519E-4</v>
      </c>
    </row>
    <row r="125" spans="2:25" x14ac:dyDescent="0.25">
      <c r="B125" s="15" t="s">
        <v>149</v>
      </c>
      <c r="C125" s="16">
        <f>IFERROR(INDEX(Volcado_Dist!$A:$ZZ, MATCH($B125, Volcado_Dist!$A:$A, 0), MATCH(C$2, Volcado_Dist!$1:$1, 0)) / SUM(INDEX(Volcado_Dist!$A:$ZZ, 0, MATCH(C$2, Volcado_Dist!$1:$1, 0))), 0)</f>
        <v>4.1619092895928497E-4</v>
      </c>
      <c r="D125" s="16">
        <f>IFERROR(INDEX(Volcado_Dist!$A:$ZZ, MATCH($B125, Volcado_Dist!$A:$A, 0), MATCH(D$2, Volcado_Dist!$1:$1, 0)) / SUM(INDEX(Volcado_Dist!$A:$ZZ, 0, MATCH(D$2, Volcado_Dist!$1:$1, 0))), 0)</f>
        <v>0</v>
      </c>
      <c r="E125" s="16">
        <f>IFERROR(INDEX(Volcado_Dist!$A:$ZZ, MATCH($B125, Volcado_Dist!$A:$A, 0), MATCH(E$2, Volcado_Dist!$1:$1, 0)) / SUM(INDEX(Volcado_Dist!$A:$ZZ, 0, MATCH(E$2, Volcado_Dist!$1:$1, 0))), 0)</f>
        <v>-3.4252854421354314E-4</v>
      </c>
      <c r="F125" s="16">
        <f>IFERROR(INDEX(Volcado_Dist!$A:$ZZ, MATCH($B125, Volcado_Dist!$A:$A, 0), MATCH(F$2, Volcado_Dist!$1:$1, 0)) / SUM(INDEX(Volcado_Dist!$A:$ZZ, 0, MATCH(F$2, Volcado_Dist!$1:$1, 0))), 0)</f>
        <v>0</v>
      </c>
      <c r="G125" s="16">
        <f>IFERROR(INDEX(Volcado_Dist!$A:$ZZ, MATCH($B125, Volcado_Dist!$A:$A, 0), MATCH(G$2, Volcado_Dist!$1:$1, 0)) / SUM(INDEX(Volcado_Dist!$A:$ZZ, 0, MATCH(G$2, Volcado_Dist!$1:$1, 0))), 0)</f>
        <v>0</v>
      </c>
      <c r="H125" s="16">
        <f>IFERROR(INDEX(Volcado_Dist!$A:$ZZ, MATCH($B125, Volcado_Dist!$A:$A, 0), MATCH(H$2, Volcado_Dist!$1:$1, 0)) / SUM(INDEX(Volcado_Dist!$A:$ZZ, 0, MATCH(H$2, Volcado_Dist!$1:$1, 0))), 0)</f>
        <v>0</v>
      </c>
      <c r="I125" s="16">
        <f>IFERROR(INDEX(Volcado_Dist!$A:$ZZ, MATCH($B125, Volcado_Dist!$A:$A, 0), MATCH(I$2, Volcado_Dist!$1:$1, 0)) / SUM(INDEX(Volcado_Dist!$A:$ZZ, 0, MATCH(I$2, Volcado_Dist!$1:$1, 0))), 0)</f>
        <v>-1.7515570637999751E-5</v>
      </c>
      <c r="J125" s="16">
        <f>IFERROR(INDEX(Volcado_Dist!$A:$ZZ, MATCH($B125, Volcado_Dist!$A:$A, 0), MATCH(J$2, Volcado_Dist!$1:$1, 0)) / SUM(INDEX(Volcado_Dist!$A:$ZZ, 0, MATCH(J$2, Volcado_Dist!$1:$1, 0))), 0)</f>
        <v>0</v>
      </c>
      <c r="K125" s="16">
        <f>IFERROR(INDEX(Volcado_Dist!$A:$ZZ, MATCH($B125, Volcado_Dist!$A:$A, 0), MATCH(K$2, Volcado_Dist!$1:$1, 0)) / SUM(INDEX(Volcado_Dist!$A:$ZZ, 0, MATCH(K$2, Volcado_Dist!$1:$1, 0))), 0)</f>
        <v>4.5334594322857746E-4</v>
      </c>
      <c r="L125" s="16">
        <f>IFERROR(INDEX(Volcado_Dist!$A:$ZZ, MATCH($B125, Volcado_Dist!$A:$A, 0), MATCH(L$2, Volcado_Dist!$1:$1, 0)) / SUM(INDEX(Volcado_Dist!$A:$ZZ, 0, MATCH(L$2, Volcado_Dist!$1:$1, 0))), 0)</f>
        <v>1.5939265286113681E-3</v>
      </c>
      <c r="M125" s="16">
        <f>IFERROR(INDEX(Volcado_Dist!$A:$ZZ, MATCH($B125, Volcado_Dist!$A:$A, 0), MATCH(M$2, Volcado_Dist!$1:$1, 0)) / SUM(INDEX(Volcado_Dist!$A:$ZZ, 0, MATCH(M$2, Volcado_Dist!$1:$1, 0))), 0)</f>
        <v>5.031206602247356E-3</v>
      </c>
      <c r="N125" s="16">
        <f>IFERROR(INDEX(Volcado_Dist!$A:$ZZ, MATCH($B125, Volcado_Dist!$A:$A, 0), MATCH(N$2, Volcado_Dist!$1:$1, 0)) / SUM(INDEX(Volcado_Dist!$A:$ZZ, 0, MATCH(N$2, Volcado_Dist!$1:$1, 0))), 0)</f>
        <v>0</v>
      </c>
      <c r="O125" s="16">
        <f>IFERROR(INDEX(Volcado_Dist!$A:$ZZ, MATCH($B125, Volcado_Dist!$A:$A, 0), MATCH(O$2, Volcado_Dist!$1:$1, 0)) / SUM(INDEX(Volcado_Dist!$A:$ZZ, 0, MATCH(O$2, Volcado_Dist!$1:$1, 0))), 0)</f>
        <v>1.8128268980349114E-3</v>
      </c>
      <c r="P125" s="16">
        <f>IFERROR(INDEX(Volcado_Dist!$A:$ZZ, MATCH($B125, Volcado_Dist!$A:$A, 0), MATCH(P$2, Volcado_Dist!$1:$1, 0)) / SUM(INDEX(Volcado_Dist!$A:$ZZ, 0, MATCH(P$2, Volcado_Dist!$1:$1, 0))), 0)</f>
        <v>1.3928407906526778E-4</v>
      </c>
      <c r="Q125" s="16">
        <f>IFERROR(INDEX(Volcado_Dist!$A:$ZZ, MATCH($B125, Volcado_Dist!$A:$A, 0), MATCH(Q$2, Volcado_Dist!$1:$1, 0)) / SUM(INDEX(Volcado_Dist!$A:$ZZ, 0, MATCH(Q$2, Volcado_Dist!$1:$1, 0))), 0)</f>
        <v>-6.0543306987865263E-5</v>
      </c>
      <c r="R125" s="16">
        <f>IFERROR(INDEX(Volcado_Dist!$A:$ZZ, MATCH($B125, Volcado_Dist!$A:$A, 0), MATCH(R$2, Volcado_Dist!$1:$1, 0)) / SUM(INDEX(Volcado_Dist!$A:$ZZ, 0, MATCH(R$2, Volcado_Dist!$1:$1, 0))), 0)</f>
        <v>0</v>
      </c>
      <c r="S125" s="16">
        <f>IFERROR(INDEX(Volcado_Dist!$A:$ZZ, MATCH($B125, Volcado_Dist!$A:$A, 0), MATCH(S$2, Volcado_Dist!$1:$1, 0)) / SUM(INDEX(Volcado_Dist!$A:$ZZ, 0, MATCH(S$2, Volcado_Dist!$1:$1, 0))), 0)</f>
        <v>0</v>
      </c>
      <c r="T125" s="16">
        <f>IFERROR(INDEX(Volcado_Dist!$A:$ZZ, MATCH($B125, Volcado_Dist!$A:$A, 0), MATCH(T$2, Volcado_Dist!$1:$1, 0)) / SUM(INDEX(Volcado_Dist!$A:$ZZ, 0, MATCH(T$2, Volcado_Dist!$1:$1, 0))), 0)</f>
        <v>0</v>
      </c>
      <c r="U125" s="16">
        <f>IFERROR(INDEX(Volcado_Dist!$A:$ZZ, MATCH($B125, Volcado_Dist!$A:$A, 0), MATCH(U$2, Volcado_Dist!$1:$1, 0)) / SUM(INDEX(Volcado_Dist!$A:$ZZ, 0, MATCH(U$2, Volcado_Dist!$1:$1, 0))), 0)</f>
        <v>0</v>
      </c>
      <c r="V125" s="16">
        <f>IFERROR(INDEX(Volcado_Dist!$A:$ZZ, MATCH($B125, Volcado_Dist!$A:$A, 0), MATCH(V$2, Volcado_Dist!$1:$1, 0)) / SUM(INDEX(Volcado_Dist!$A:$ZZ, 0, MATCH(V$2, Volcado_Dist!$1:$1, 0))), 0)</f>
        <v>6.867143375722585E-4</v>
      </c>
      <c r="W125" s="16">
        <f t="shared" si="3"/>
        <v>4.8564539479398086E-4</v>
      </c>
      <c r="X125" s="17">
        <f>IFERROR(SUM(_xlfn.XLOOKUP($B125, Volcado_Vend!$A:$A, Volcado_Vend!$C:$ZZ, 0)) / SUM(Volcado_Vend!$C:$ZZ), 0)</f>
        <v>8.446711259224365E-4</v>
      </c>
      <c r="Y125" s="24">
        <f t="shared" si="2"/>
        <v>6.6515826035820863E-4</v>
      </c>
    </row>
    <row r="126" spans="2:25" x14ac:dyDescent="0.25">
      <c r="B126" s="15" t="s">
        <v>150</v>
      </c>
      <c r="C126" s="16">
        <f>IFERROR(INDEX(Volcado_Dist!$A:$ZZ, MATCH($B126, Volcado_Dist!$A:$A, 0), MATCH(C$2, Volcado_Dist!$1:$1, 0)) / SUM(INDEX(Volcado_Dist!$A:$ZZ, 0, MATCH(C$2, Volcado_Dist!$1:$1, 0))), 0)</f>
        <v>5.4566841133471165E-4</v>
      </c>
      <c r="D126" s="16">
        <f>IFERROR(INDEX(Volcado_Dist!$A:$ZZ, MATCH($B126, Volcado_Dist!$A:$A, 0), MATCH(D$2, Volcado_Dist!$1:$1, 0)) / SUM(INDEX(Volcado_Dist!$A:$ZZ, 0, MATCH(D$2, Volcado_Dist!$1:$1, 0))), 0)</f>
        <v>0</v>
      </c>
      <c r="E126" s="16">
        <f>IFERROR(INDEX(Volcado_Dist!$A:$ZZ, MATCH($B126, Volcado_Dist!$A:$A, 0), MATCH(E$2, Volcado_Dist!$1:$1, 0)) / SUM(INDEX(Volcado_Dist!$A:$ZZ, 0, MATCH(E$2, Volcado_Dist!$1:$1, 0))), 0)</f>
        <v>0</v>
      </c>
      <c r="F126" s="16">
        <f>IFERROR(INDEX(Volcado_Dist!$A:$ZZ, MATCH($B126, Volcado_Dist!$A:$A, 0), MATCH(F$2, Volcado_Dist!$1:$1, 0)) / SUM(INDEX(Volcado_Dist!$A:$ZZ, 0, MATCH(F$2, Volcado_Dist!$1:$1, 0))), 0)</f>
        <v>1.2169071347930767E-4</v>
      </c>
      <c r="G126" s="16">
        <f>IFERROR(INDEX(Volcado_Dist!$A:$ZZ, MATCH($B126, Volcado_Dist!$A:$A, 0), MATCH(G$2, Volcado_Dist!$1:$1, 0)) / SUM(INDEX(Volcado_Dist!$A:$ZZ, 0, MATCH(G$2, Volcado_Dist!$1:$1, 0))), 0)</f>
        <v>0</v>
      </c>
      <c r="H126" s="16">
        <f>IFERROR(INDEX(Volcado_Dist!$A:$ZZ, MATCH($B126, Volcado_Dist!$A:$A, 0), MATCH(H$2, Volcado_Dist!$1:$1, 0)) / SUM(INDEX(Volcado_Dist!$A:$ZZ, 0, MATCH(H$2, Volcado_Dist!$1:$1, 0))), 0)</f>
        <v>0</v>
      </c>
      <c r="I126" s="16">
        <f>IFERROR(INDEX(Volcado_Dist!$A:$ZZ, MATCH($B126, Volcado_Dist!$A:$A, 0), MATCH(I$2, Volcado_Dist!$1:$1, 0)) / SUM(INDEX(Volcado_Dist!$A:$ZZ, 0, MATCH(I$2, Volcado_Dist!$1:$1, 0))), 0)</f>
        <v>-7.623670769450943E-4</v>
      </c>
      <c r="J126" s="16">
        <f>IFERROR(INDEX(Volcado_Dist!$A:$ZZ, MATCH($B126, Volcado_Dist!$A:$A, 0), MATCH(J$2, Volcado_Dist!$1:$1, 0)) / SUM(INDEX(Volcado_Dist!$A:$ZZ, 0, MATCH(J$2, Volcado_Dist!$1:$1, 0))), 0)</f>
        <v>0</v>
      </c>
      <c r="K126" s="16">
        <f>IFERROR(INDEX(Volcado_Dist!$A:$ZZ, MATCH($B126, Volcado_Dist!$A:$A, 0), MATCH(K$2, Volcado_Dist!$1:$1, 0)) / SUM(INDEX(Volcado_Dist!$A:$ZZ, 0, MATCH(K$2, Volcado_Dist!$1:$1, 0))), 0)</f>
        <v>4.03617772457173E-3</v>
      </c>
      <c r="L126" s="16">
        <f>IFERROR(INDEX(Volcado_Dist!$A:$ZZ, MATCH($B126, Volcado_Dist!$A:$A, 0), MATCH(L$2, Volcado_Dist!$1:$1, 0)) / SUM(INDEX(Volcado_Dist!$A:$ZZ, 0, MATCH(L$2, Volcado_Dist!$1:$1, 0))), 0)</f>
        <v>0</v>
      </c>
      <c r="M126" s="16">
        <f>IFERROR(INDEX(Volcado_Dist!$A:$ZZ, MATCH($B126, Volcado_Dist!$A:$A, 0), MATCH(M$2, Volcado_Dist!$1:$1, 0)) / SUM(INDEX(Volcado_Dist!$A:$ZZ, 0, MATCH(M$2, Volcado_Dist!$1:$1, 0))), 0)</f>
        <v>0</v>
      </c>
      <c r="N126" s="16">
        <f>IFERROR(INDEX(Volcado_Dist!$A:$ZZ, MATCH($B126, Volcado_Dist!$A:$A, 0), MATCH(N$2, Volcado_Dist!$1:$1, 0)) / SUM(INDEX(Volcado_Dist!$A:$ZZ, 0, MATCH(N$2, Volcado_Dist!$1:$1, 0))), 0)</f>
        <v>0</v>
      </c>
      <c r="O126" s="16">
        <f>IFERROR(INDEX(Volcado_Dist!$A:$ZZ, MATCH($B126, Volcado_Dist!$A:$A, 0), MATCH(O$2, Volcado_Dist!$1:$1, 0)) / SUM(INDEX(Volcado_Dist!$A:$ZZ, 0, MATCH(O$2, Volcado_Dist!$1:$1, 0))), 0)</f>
        <v>0</v>
      </c>
      <c r="P126" s="16">
        <f>IFERROR(INDEX(Volcado_Dist!$A:$ZZ, MATCH($B126, Volcado_Dist!$A:$A, 0), MATCH(P$2, Volcado_Dist!$1:$1, 0)) / SUM(INDEX(Volcado_Dist!$A:$ZZ, 0, MATCH(P$2, Volcado_Dist!$1:$1, 0))), 0)</f>
        <v>1.1773223430698911E-4</v>
      </c>
      <c r="Q126" s="16">
        <f>IFERROR(INDEX(Volcado_Dist!$A:$ZZ, MATCH($B126, Volcado_Dist!$A:$A, 0), MATCH(Q$2, Volcado_Dist!$1:$1, 0)) / SUM(INDEX(Volcado_Dist!$A:$ZZ, 0, MATCH(Q$2, Volcado_Dist!$1:$1, 0))), 0)</f>
        <v>0</v>
      </c>
      <c r="R126" s="16">
        <f>IFERROR(INDEX(Volcado_Dist!$A:$ZZ, MATCH($B126, Volcado_Dist!$A:$A, 0), MATCH(R$2, Volcado_Dist!$1:$1, 0)) / SUM(INDEX(Volcado_Dist!$A:$ZZ, 0, MATCH(R$2, Volcado_Dist!$1:$1, 0))), 0)</f>
        <v>0</v>
      </c>
      <c r="S126" s="16">
        <f>IFERROR(INDEX(Volcado_Dist!$A:$ZZ, MATCH($B126, Volcado_Dist!$A:$A, 0), MATCH(S$2, Volcado_Dist!$1:$1, 0)) / SUM(INDEX(Volcado_Dist!$A:$ZZ, 0, MATCH(S$2, Volcado_Dist!$1:$1, 0))), 0)</f>
        <v>0</v>
      </c>
      <c r="T126" s="16">
        <f>IFERROR(INDEX(Volcado_Dist!$A:$ZZ, MATCH($B126, Volcado_Dist!$A:$A, 0), MATCH(T$2, Volcado_Dist!$1:$1, 0)) / SUM(INDEX(Volcado_Dist!$A:$ZZ, 0, MATCH(T$2, Volcado_Dist!$1:$1, 0))), 0)</f>
        <v>0</v>
      </c>
      <c r="U126" s="16">
        <f>IFERROR(INDEX(Volcado_Dist!$A:$ZZ, MATCH($B126, Volcado_Dist!$A:$A, 0), MATCH(U$2, Volcado_Dist!$1:$1, 0)) / SUM(INDEX(Volcado_Dist!$A:$ZZ, 0, MATCH(U$2, Volcado_Dist!$1:$1, 0))), 0)</f>
        <v>0</v>
      </c>
      <c r="V126" s="16">
        <f>IFERROR(INDEX(Volcado_Dist!$A:$ZZ, MATCH($B126, Volcado_Dist!$A:$A, 0), MATCH(V$2, Volcado_Dist!$1:$1, 0)) / SUM(INDEX(Volcado_Dist!$A:$ZZ, 0, MATCH(V$2, Volcado_Dist!$1:$1, 0))), 0)</f>
        <v>0</v>
      </c>
      <c r="W126" s="16">
        <f t="shared" si="3"/>
        <v>2.0294510033738223E-4</v>
      </c>
      <c r="X126" s="17">
        <f>IFERROR(SUM(_xlfn.XLOOKUP($B126, Volcado_Vend!$A:$A, Volcado_Vend!$C:$ZZ, 0)) / SUM(Volcado_Vend!$C:$ZZ), 0)</f>
        <v>6.2831715555878144E-4</v>
      </c>
      <c r="Y126" s="24">
        <f t="shared" si="2"/>
        <v>4.1563112794808184E-4</v>
      </c>
    </row>
    <row r="127" spans="2:25" x14ac:dyDescent="0.25">
      <c r="B127" s="15" t="s">
        <v>151</v>
      </c>
      <c r="C127" s="16">
        <f>IFERROR(INDEX(Volcado_Dist!$A:$ZZ, MATCH($B127, Volcado_Dist!$A:$A, 0), MATCH(C$2, Volcado_Dist!$1:$1, 0)) / SUM(INDEX(Volcado_Dist!$A:$ZZ, 0, MATCH(C$2, Volcado_Dist!$1:$1, 0))), 0)</f>
        <v>0</v>
      </c>
      <c r="D127" s="16">
        <f>IFERROR(INDEX(Volcado_Dist!$A:$ZZ, MATCH($B127, Volcado_Dist!$A:$A, 0), MATCH(D$2, Volcado_Dist!$1:$1, 0)) / SUM(INDEX(Volcado_Dist!$A:$ZZ, 0, MATCH(D$2, Volcado_Dist!$1:$1, 0))), 0)</f>
        <v>0</v>
      </c>
      <c r="E127" s="16">
        <f>IFERROR(INDEX(Volcado_Dist!$A:$ZZ, MATCH($B127, Volcado_Dist!$A:$A, 0), MATCH(E$2, Volcado_Dist!$1:$1, 0)) / SUM(INDEX(Volcado_Dist!$A:$ZZ, 0, MATCH(E$2, Volcado_Dist!$1:$1, 0))), 0)</f>
        <v>1.9846787297880591E-3</v>
      </c>
      <c r="F127" s="16">
        <f>IFERROR(INDEX(Volcado_Dist!$A:$ZZ, MATCH($B127, Volcado_Dist!$A:$A, 0), MATCH(F$2, Volcado_Dist!$1:$1, 0)) / SUM(INDEX(Volcado_Dist!$A:$ZZ, 0, MATCH(F$2, Volcado_Dist!$1:$1, 0))), 0)</f>
        <v>0</v>
      </c>
      <c r="G127" s="16">
        <f>IFERROR(INDEX(Volcado_Dist!$A:$ZZ, MATCH($B127, Volcado_Dist!$A:$A, 0), MATCH(G$2, Volcado_Dist!$1:$1, 0)) / SUM(INDEX(Volcado_Dist!$A:$ZZ, 0, MATCH(G$2, Volcado_Dist!$1:$1, 0))), 0)</f>
        <v>0</v>
      </c>
      <c r="H127" s="16">
        <f>IFERROR(INDEX(Volcado_Dist!$A:$ZZ, MATCH($B127, Volcado_Dist!$A:$A, 0), MATCH(H$2, Volcado_Dist!$1:$1, 0)) / SUM(INDEX(Volcado_Dist!$A:$ZZ, 0, MATCH(H$2, Volcado_Dist!$1:$1, 0))), 0)</f>
        <v>0</v>
      </c>
      <c r="I127" s="16">
        <f>IFERROR(INDEX(Volcado_Dist!$A:$ZZ, MATCH($B127, Volcado_Dist!$A:$A, 0), MATCH(I$2, Volcado_Dist!$1:$1, 0)) / SUM(INDEX(Volcado_Dist!$A:$ZZ, 0, MATCH(I$2, Volcado_Dist!$1:$1, 0))), 0)</f>
        <v>0</v>
      </c>
      <c r="J127" s="16">
        <f>IFERROR(INDEX(Volcado_Dist!$A:$ZZ, MATCH($B127, Volcado_Dist!$A:$A, 0), MATCH(J$2, Volcado_Dist!$1:$1, 0)) / SUM(INDEX(Volcado_Dist!$A:$ZZ, 0, MATCH(J$2, Volcado_Dist!$1:$1, 0))), 0)</f>
        <v>0</v>
      </c>
      <c r="K127" s="16">
        <f>IFERROR(INDEX(Volcado_Dist!$A:$ZZ, MATCH($B127, Volcado_Dist!$A:$A, 0), MATCH(K$2, Volcado_Dist!$1:$1, 0)) / SUM(INDEX(Volcado_Dist!$A:$ZZ, 0, MATCH(K$2, Volcado_Dist!$1:$1, 0))), 0)</f>
        <v>1.0532791278484051E-4</v>
      </c>
      <c r="L127" s="16">
        <f>IFERROR(INDEX(Volcado_Dist!$A:$ZZ, MATCH($B127, Volcado_Dist!$A:$A, 0), MATCH(L$2, Volcado_Dist!$1:$1, 0)) / SUM(INDEX(Volcado_Dist!$A:$ZZ, 0, MATCH(L$2, Volcado_Dist!$1:$1, 0))), 0)</f>
        <v>5.9046884389690876E-4</v>
      </c>
      <c r="M127" s="16">
        <f>IFERROR(INDEX(Volcado_Dist!$A:$ZZ, MATCH($B127, Volcado_Dist!$A:$A, 0), MATCH(M$2, Volcado_Dist!$1:$1, 0)) / SUM(INDEX(Volcado_Dist!$A:$ZZ, 0, MATCH(M$2, Volcado_Dist!$1:$1, 0))), 0)</f>
        <v>0</v>
      </c>
      <c r="N127" s="16">
        <f>IFERROR(INDEX(Volcado_Dist!$A:$ZZ, MATCH($B127, Volcado_Dist!$A:$A, 0), MATCH(N$2, Volcado_Dist!$1:$1, 0)) / SUM(INDEX(Volcado_Dist!$A:$ZZ, 0, MATCH(N$2, Volcado_Dist!$1:$1, 0))), 0)</f>
        <v>0</v>
      </c>
      <c r="O127" s="16">
        <f>IFERROR(INDEX(Volcado_Dist!$A:$ZZ, MATCH($B127, Volcado_Dist!$A:$A, 0), MATCH(O$2, Volcado_Dist!$1:$1, 0)) / SUM(INDEX(Volcado_Dist!$A:$ZZ, 0, MATCH(O$2, Volcado_Dist!$1:$1, 0))), 0)</f>
        <v>0</v>
      </c>
      <c r="P127" s="16">
        <f>IFERROR(INDEX(Volcado_Dist!$A:$ZZ, MATCH($B127, Volcado_Dist!$A:$A, 0), MATCH(P$2, Volcado_Dist!$1:$1, 0)) / SUM(INDEX(Volcado_Dist!$A:$ZZ, 0, MATCH(P$2, Volcado_Dist!$1:$1, 0))), 0)</f>
        <v>0</v>
      </c>
      <c r="Q127" s="16">
        <f>IFERROR(INDEX(Volcado_Dist!$A:$ZZ, MATCH($B127, Volcado_Dist!$A:$A, 0), MATCH(Q$2, Volcado_Dist!$1:$1, 0)) / SUM(INDEX(Volcado_Dist!$A:$ZZ, 0, MATCH(Q$2, Volcado_Dist!$1:$1, 0))), 0)</f>
        <v>0</v>
      </c>
      <c r="R127" s="16">
        <f>IFERROR(INDEX(Volcado_Dist!$A:$ZZ, MATCH($B127, Volcado_Dist!$A:$A, 0), MATCH(R$2, Volcado_Dist!$1:$1, 0)) / SUM(INDEX(Volcado_Dist!$A:$ZZ, 0, MATCH(R$2, Volcado_Dist!$1:$1, 0))), 0)</f>
        <v>0</v>
      </c>
      <c r="S127" s="16">
        <f>IFERROR(INDEX(Volcado_Dist!$A:$ZZ, MATCH($B127, Volcado_Dist!$A:$A, 0), MATCH(S$2, Volcado_Dist!$1:$1, 0)) / SUM(INDEX(Volcado_Dist!$A:$ZZ, 0, MATCH(S$2, Volcado_Dist!$1:$1, 0))), 0)</f>
        <v>0</v>
      </c>
      <c r="T127" s="16">
        <f>IFERROR(INDEX(Volcado_Dist!$A:$ZZ, MATCH($B127, Volcado_Dist!$A:$A, 0), MATCH(T$2, Volcado_Dist!$1:$1, 0)) / SUM(INDEX(Volcado_Dist!$A:$ZZ, 0, MATCH(T$2, Volcado_Dist!$1:$1, 0))), 0)</f>
        <v>0</v>
      </c>
      <c r="U127" s="16">
        <f>IFERROR(INDEX(Volcado_Dist!$A:$ZZ, MATCH($B127, Volcado_Dist!$A:$A, 0), MATCH(U$2, Volcado_Dist!$1:$1, 0)) / SUM(INDEX(Volcado_Dist!$A:$ZZ, 0, MATCH(U$2, Volcado_Dist!$1:$1, 0))), 0)</f>
        <v>0</v>
      </c>
      <c r="V127" s="16">
        <f>IFERROR(INDEX(Volcado_Dist!$A:$ZZ, MATCH($B127, Volcado_Dist!$A:$A, 0), MATCH(V$2, Volcado_Dist!$1:$1, 0)) / SUM(INDEX(Volcado_Dist!$A:$ZZ, 0, MATCH(V$2, Volcado_Dist!$1:$1, 0))), 0)</f>
        <v>0</v>
      </c>
      <c r="W127" s="16">
        <f t="shared" si="3"/>
        <v>1.3402377432349041E-4</v>
      </c>
      <c r="X127" s="17">
        <f>IFERROR(SUM(_xlfn.XLOOKUP($B127, Volcado_Vend!$A:$A, Volcado_Vend!$C:$ZZ, 0)) / SUM(Volcado_Vend!$C:$ZZ), 0)</f>
        <v>0</v>
      </c>
      <c r="Y127" s="24">
        <f t="shared" si="2"/>
        <v>6.7011887161745203E-5</v>
      </c>
    </row>
    <row r="128" spans="2:25" x14ac:dyDescent="0.25">
      <c r="B128" s="18" t="s">
        <v>152</v>
      </c>
      <c r="C128" s="16">
        <f>IFERROR(INDEX(Volcado_Dist!$A:$ZZ, MATCH($B128, Volcado_Dist!$A:$A, 0), MATCH(C$2, Volcado_Dist!$1:$1, 0)) / SUM(INDEX(Volcado_Dist!$A:$ZZ, 0, MATCH(C$2, Volcado_Dist!$1:$1, 0))), 0)</f>
        <v>1.1987098628000563E-2</v>
      </c>
      <c r="D128" s="16">
        <f>IFERROR(INDEX(Volcado_Dist!$A:$ZZ, MATCH($B128, Volcado_Dist!$A:$A, 0), MATCH(D$2, Volcado_Dist!$1:$1, 0)) / SUM(INDEX(Volcado_Dist!$A:$ZZ, 0, MATCH(D$2, Volcado_Dist!$1:$1, 0))), 0)</f>
        <v>0</v>
      </c>
      <c r="E128" s="16">
        <f>IFERROR(INDEX(Volcado_Dist!$A:$ZZ, MATCH($B128, Volcado_Dist!$A:$A, 0), MATCH(E$2, Volcado_Dist!$1:$1, 0)) / SUM(INDEX(Volcado_Dist!$A:$ZZ, 0, MATCH(E$2, Volcado_Dist!$1:$1, 0))), 0)</f>
        <v>2.0847111002492161E-2</v>
      </c>
      <c r="F128" s="16">
        <f>IFERROR(INDEX(Volcado_Dist!$A:$ZZ, MATCH($B128, Volcado_Dist!$A:$A, 0), MATCH(F$2, Volcado_Dist!$1:$1, 0)) / SUM(INDEX(Volcado_Dist!$A:$ZZ, 0, MATCH(F$2, Volcado_Dist!$1:$1, 0))), 0)</f>
        <v>1.8344352982961849E-2</v>
      </c>
      <c r="G128" s="16">
        <f>IFERROR(INDEX(Volcado_Dist!$A:$ZZ, MATCH($B128, Volcado_Dist!$A:$A, 0), MATCH(G$2, Volcado_Dist!$1:$1, 0)) / SUM(INDEX(Volcado_Dist!$A:$ZZ, 0, MATCH(G$2, Volcado_Dist!$1:$1, 0))), 0)</f>
        <v>0</v>
      </c>
      <c r="H128" s="16">
        <f>IFERROR(INDEX(Volcado_Dist!$A:$ZZ, MATCH($B128, Volcado_Dist!$A:$A, 0), MATCH(H$2, Volcado_Dist!$1:$1, 0)) / SUM(INDEX(Volcado_Dist!$A:$ZZ, 0, MATCH(H$2, Volcado_Dist!$1:$1, 0))), 0)</f>
        <v>0</v>
      </c>
      <c r="I128" s="16">
        <f>IFERROR(INDEX(Volcado_Dist!$A:$ZZ, MATCH($B128, Volcado_Dist!$A:$A, 0), MATCH(I$2, Volcado_Dist!$1:$1, 0)) / SUM(INDEX(Volcado_Dist!$A:$ZZ, 0, MATCH(I$2, Volcado_Dist!$1:$1, 0))), 0)</f>
        <v>1.6094923768765049E-2</v>
      </c>
      <c r="J128" s="16">
        <f>IFERROR(INDEX(Volcado_Dist!$A:$ZZ, MATCH($B128, Volcado_Dist!$A:$A, 0), MATCH(J$2, Volcado_Dist!$1:$1, 0)) / SUM(INDEX(Volcado_Dist!$A:$ZZ, 0, MATCH(J$2, Volcado_Dist!$1:$1, 0))), 0)</f>
        <v>0</v>
      </c>
      <c r="K128" s="16">
        <f>IFERROR(INDEX(Volcado_Dist!$A:$ZZ, MATCH($B128, Volcado_Dist!$A:$A, 0), MATCH(K$2, Volcado_Dist!$1:$1, 0)) / SUM(INDEX(Volcado_Dist!$A:$ZZ, 0, MATCH(K$2, Volcado_Dist!$1:$1, 0))), 0)</f>
        <v>1.6596572596857057E-2</v>
      </c>
      <c r="L128" s="16">
        <f>IFERROR(INDEX(Volcado_Dist!$A:$ZZ, MATCH($B128, Volcado_Dist!$A:$A, 0), MATCH(L$2, Volcado_Dist!$1:$1, 0)) / SUM(INDEX(Volcado_Dist!$A:$ZZ, 0, MATCH(L$2, Volcado_Dist!$1:$1, 0))), 0)</f>
        <v>6.7842834064293098E-3</v>
      </c>
      <c r="M128" s="16">
        <f>IFERROR(INDEX(Volcado_Dist!$A:$ZZ, MATCH($B128, Volcado_Dist!$A:$A, 0), MATCH(M$2, Volcado_Dist!$1:$1, 0)) / SUM(INDEX(Volcado_Dist!$A:$ZZ, 0, MATCH(M$2, Volcado_Dist!$1:$1, 0))), 0)</f>
        <v>2.2689837714773703E-2</v>
      </c>
      <c r="N128" s="16">
        <f>IFERROR(INDEX(Volcado_Dist!$A:$ZZ, MATCH($B128, Volcado_Dist!$A:$A, 0), MATCH(N$2, Volcado_Dist!$1:$1, 0)) / SUM(INDEX(Volcado_Dist!$A:$ZZ, 0, MATCH(N$2, Volcado_Dist!$1:$1, 0))), 0)</f>
        <v>0</v>
      </c>
      <c r="O128" s="16">
        <f>IFERROR(INDEX(Volcado_Dist!$A:$ZZ, MATCH($B128, Volcado_Dist!$A:$A, 0), MATCH(O$2, Volcado_Dist!$1:$1, 0)) / SUM(INDEX(Volcado_Dist!$A:$ZZ, 0, MATCH(O$2, Volcado_Dist!$1:$1, 0))), 0)</f>
        <v>1.1743089795048374E-2</v>
      </c>
      <c r="P128" s="16">
        <f>IFERROR(INDEX(Volcado_Dist!$A:$ZZ, MATCH($B128, Volcado_Dist!$A:$A, 0), MATCH(P$2, Volcado_Dist!$1:$1, 0)) / SUM(INDEX(Volcado_Dist!$A:$ZZ, 0, MATCH(P$2, Volcado_Dist!$1:$1, 0))), 0)</f>
        <v>1.7933839384112443E-2</v>
      </c>
      <c r="Q128" s="16">
        <f>IFERROR(INDEX(Volcado_Dist!$A:$ZZ, MATCH($B128, Volcado_Dist!$A:$A, 0), MATCH(Q$2, Volcado_Dist!$1:$1, 0)) / SUM(INDEX(Volcado_Dist!$A:$ZZ, 0, MATCH(Q$2, Volcado_Dist!$1:$1, 0))), 0)</f>
        <v>9.4931905356972716E-3</v>
      </c>
      <c r="R128" s="16">
        <f>IFERROR(INDEX(Volcado_Dist!$A:$ZZ, MATCH($B128, Volcado_Dist!$A:$A, 0), MATCH(R$2, Volcado_Dist!$1:$1, 0)) / SUM(INDEX(Volcado_Dist!$A:$ZZ, 0, MATCH(R$2, Volcado_Dist!$1:$1, 0))), 0)</f>
        <v>3.4258977705518119E-2</v>
      </c>
      <c r="S128" s="16">
        <f>IFERROR(INDEX(Volcado_Dist!$A:$ZZ, MATCH($B128, Volcado_Dist!$A:$A, 0), MATCH(S$2, Volcado_Dist!$1:$1, 0)) / SUM(INDEX(Volcado_Dist!$A:$ZZ, 0, MATCH(S$2, Volcado_Dist!$1:$1, 0))), 0)</f>
        <v>1.1831460006306938E-2</v>
      </c>
      <c r="T128" s="16">
        <f>IFERROR(INDEX(Volcado_Dist!$A:$ZZ, MATCH($B128, Volcado_Dist!$A:$A, 0), MATCH(T$2, Volcado_Dist!$1:$1, 0)) / SUM(INDEX(Volcado_Dist!$A:$ZZ, 0, MATCH(T$2, Volcado_Dist!$1:$1, 0))), 0)</f>
        <v>5.5280553069250683E-3</v>
      </c>
      <c r="U128" s="16">
        <f>IFERROR(INDEX(Volcado_Dist!$A:$ZZ, MATCH($B128, Volcado_Dist!$A:$A, 0), MATCH(U$2, Volcado_Dist!$1:$1, 0)) / SUM(INDEX(Volcado_Dist!$A:$ZZ, 0, MATCH(U$2, Volcado_Dist!$1:$1, 0))), 0)</f>
        <v>3.7241637029913441E-2</v>
      </c>
      <c r="V128" s="16">
        <f>IFERROR(INDEX(Volcado_Dist!$A:$ZZ, MATCH($B128, Volcado_Dist!$A:$A, 0), MATCH(V$2, Volcado_Dist!$1:$1, 0)) / SUM(INDEX(Volcado_Dist!$A:$ZZ, 0, MATCH(V$2, Volcado_Dist!$1:$1, 0))), 0)</f>
        <v>1.5002346512451461E-2</v>
      </c>
      <c r="W128" s="16">
        <f t="shared" si="3"/>
        <v>1.2818838818812642E-2</v>
      </c>
      <c r="X128" s="17">
        <f>IFERROR(SUM(_xlfn.XLOOKUP($B128, Volcado_Vend!$A:$A, Volcado_Vend!$C:$ZZ, 0)) / SUM(Volcado_Vend!$C:$ZZ), 0)</f>
        <v>3.2036540863462008E-3</v>
      </c>
      <c r="Y128" s="24">
        <f t="shared" si="2"/>
        <v>8.0112464525794215E-3</v>
      </c>
    </row>
    <row r="129" spans="2:25" x14ac:dyDescent="0.25">
      <c r="B129" s="22" t="s">
        <v>165</v>
      </c>
      <c r="C129" s="19">
        <f>SUM(C3:C128)</f>
        <v>0.99537793332700097</v>
      </c>
      <c r="D129" s="19">
        <f t="shared" ref="D129:X129" si="4">SUM(D3:D128)</f>
        <v>1</v>
      </c>
      <c r="E129" s="19">
        <f t="shared" si="4"/>
        <v>0.99999999999999944</v>
      </c>
      <c r="F129" s="19">
        <f t="shared" si="4"/>
        <v>0.99999999999999956</v>
      </c>
      <c r="G129" s="19">
        <f t="shared" si="4"/>
        <v>0.99999999999999978</v>
      </c>
      <c r="H129" s="19">
        <f t="shared" si="4"/>
        <v>1</v>
      </c>
      <c r="I129" s="19">
        <f t="shared" si="4"/>
        <v>0.99774389522328766</v>
      </c>
      <c r="J129" s="19">
        <f t="shared" si="4"/>
        <v>1</v>
      </c>
      <c r="K129" s="19">
        <f t="shared" si="4"/>
        <v>0.99996150083187874</v>
      </c>
      <c r="L129" s="19">
        <f t="shared" si="4"/>
        <v>1.0000000000000004</v>
      </c>
      <c r="M129" s="19">
        <f t="shared" si="4"/>
        <v>0.99999999999999978</v>
      </c>
      <c r="N129" s="19">
        <f t="shared" si="4"/>
        <v>1</v>
      </c>
      <c r="O129" s="19">
        <f t="shared" si="4"/>
        <v>0.99928242268619438</v>
      </c>
      <c r="P129" s="19">
        <f t="shared" si="4"/>
        <v>0.99824542628556123</v>
      </c>
      <c r="Q129" s="19">
        <f t="shared" si="4"/>
        <v>1.0000000000000002</v>
      </c>
      <c r="R129" s="19">
        <f t="shared" si="4"/>
        <v>0.99999999999999989</v>
      </c>
      <c r="S129" s="19">
        <f t="shared" si="4"/>
        <v>1</v>
      </c>
      <c r="T129" s="19">
        <f t="shared" si="4"/>
        <v>0.99999999999999989</v>
      </c>
      <c r="U129" s="19">
        <f t="shared" si="4"/>
        <v>1</v>
      </c>
      <c r="V129" s="19">
        <f t="shared" si="4"/>
        <v>0.99999999999999989</v>
      </c>
      <c r="W129" s="19">
        <f t="shared" si="4"/>
        <v>0.99953055891769582</v>
      </c>
      <c r="X129" s="19">
        <f t="shared" si="4"/>
        <v>1.0000000000000002</v>
      </c>
      <c r="Y129" s="23"/>
    </row>
  </sheetData>
  <conditionalFormatting sqref="C3:V128">
    <cfRule type="expression" dxfId="1" priority="1">
      <formula>C3&gt;=$Y3</formula>
    </cfRule>
    <cfRule type="expression" dxfId="0" priority="2">
      <formula>C3&lt;$Y3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279E-731C-42D5-B7B6-A3A762BD4CAB}">
  <dimension ref="A1:Y129"/>
  <sheetViews>
    <sheetView topLeftCell="A103" workbookViewId="0">
      <selection activeCell="G136" sqref="G136"/>
    </sheetView>
  </sheetViews>
  <sheetFormatPr baseColWidth="10" defaultColWidth="9.140625" defaultRowHeight="15" x14ac:dyDescent="0.25"/>
  <cols>
    <col min="1" max="1" width="8.42578125" style="25" bestFit="1" customWidth="1"/>
    <col min="2" max="2" width="7.28515625" style="25" bestFit="1" customWidth="1"/>
    <col min="3" max="3" width="26.5703125" style="25" bestFit="1" customWidth="1"/>
    <col min="4" max="4" width="32.140625" style="25" bestFit="1" customWidth="1"/>
    <col min="5" max="5" width="42.85546875" style="25" bestFit="1" customWidth="1"/>
    <col min="6" max="6" width="32.7109375" style="25" bestFit="1" customWidth="1"/>
    <col min="7" max="7" width="22.140625" style="25" bestFit="1" customWidth="1"/>
    <col min="8" max="8" width="23" style="25" bestFit="1" customWidth="1"/>
    <col min="9" max="9" width="42.28515625" style="25" bestFit="1" customWidth="1"/>
    <col min="10" max="10" width="22.42578125" style="25" bestFit="1" customWidth="1"/>
    <col min="11" max="11" width="30" style="25" bestFit="1" customWidth="1"/>
    <col min="12" max="12" width="29.7109375" style="25" bestFit="1" customWidth="1"/>
    <col min="13" max="13" width="26.5703125" style="25" bestFit="1" customWidth="1"/>
    <col min="14" max="14" width="36.85546875" style="25" bestFit="1" customWidth="1"/>
    <col min="15" max="15" width="20.28515625" style="25" bestFit="1" customWidth="1"/>
    <col min="16" max="16" width="25" style="25" bestFit="1" customWidth="1"/>
    <col min="17" max="17" width="22.28515625" style="25" bestFit="1" customWidth="1"/>
    <col min="18" max="18" width="43.85546875" style="25" bestFit="1" customWidth="1"/>
    <col min="19" max="19" width="35" style="25" bestFit="1" customWidth="1"/>
    <col min="20" max="20" width="29.140625" style="25" bestFit="1" customWidth="1"/>
    <col min="21" max="21" width="22.85546875" style="25" bestFit="1" customWidth="1"/>
    <col min="22" max="22" width="31.5703125" style="25" bestFit="1" customWidth="1"/>
    <col min="23" max="23" width="41.28515625" style="25" bestFit="1" customWidth="1"/>
    <col min="24" max="24" width="20.5703125" style="25" bestFit="1" customWidth="1"/>
    <col min="25" max="25" width="31.85546875" style="25" bestFit="1" customWidth="1"/>
    <col min="26" max="26" width="10" style="25" customWidth="1"/>
    <col min="27" max="16384" width="9.140625" style="25"/>
  </cols>
  <sheetData>
    <row r="1" spans="1:25" ht="12.95" customHeight="1" x14ac:dyDescent="0.25">
      <c r="A1" s="1" t="s">
        <v>26</v>
      </c>
      <c r="B1" s="1" t="s">
        <v>25</v>
      </c>
      <c r="C1" s="8" t="s">
        <v>3</v>
      </c>
      <c r="D1" s="8" t="s">
        <v>4</v>
      </c>
      <c r="E1" s="8" t="s">
        <v>5</v>
      </c>
      <c r="F1" s="8" t="s">
        <v>167</v>
      </c>
      <c r="G1" s="8" t="s">
        <v>168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169</v>
      </c>
      <c r="Y1" s="8" t="s">
        <v>22</v>
      </c>
    </row>
    <row r="2" spans="1:25" ht="15" customHeight="1" x14ac:dyDescent="0.25">
      <c r="A2" s="8" t="s">
        <v>27</v>
      </c>
      <c r="B2" s="8" t="s">
        <v>153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6006</v>
      </c>
      <c r="I2" s="28">
        <v>0</v>
      </c>
      <c r="J2" s="28">
        <v>0</v>
      </c>
      <c r="K2" s="28">
        <v>7276.5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577.5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7969.5</v>
      </c>
    </row>
    <row r="3" spans="1:25" ht="15" customHeight="1" x14ac:dyDescent="0.25">
      <c r="A3" s="8" t="s">
        <v>28</v>
      </c>
      <c r="B3" s="8" t="s">
        <v>153</v>
      </c>
      <c r="C3" s="28">
        <v>10632.16</v>
      </c>
      <c r="D3" s="28">
        <v>0</v>
      </c>
      <c r="E3" s="28">
        <v>35418.460000000006</v>
      </c>
      <c r="F3" s="28">
        <v>0</v>
      </c>
      <c r="G3" s="28">
        <v>0</v>
      </c>
      <c r="H3" s="28">
        <v>33632.060000000005</v>
      </c>
      <c r="I3" s="28">
        <v>0</v>
      </c>
      <c r="J3" s="28">
        <v>0</v>
      </c>
      <c r="K3" s="28">
        <v>25279.100000000002</v>
      </c>
      <c r="L3" s="28">
        <v>0</v>
      </c>
      <c r="M3" s="28">
        <v>48009.250000000015</v>
      </c>
      <c r="N3" s="28">
        <v>-3461.15</v>
      </c>
      <c r="O3" s="28">
        <v>8848.84</v>
      </c>
      <c r="P3" s="28">
        <v>0</v>
      </c>
      <c r="Q3" s="28">
        <v>22134.420000000002</v>
      </c>
      <c r="R3" s="28">
        <v>40205.550000000003</v>
      </c>
      <c r="S3" s="28">
        <v>0</v>
      </c>
      <c r="T3" s="28">
        <v>1573.1100000000001</v>
      </c>
      <c r="U3" s="28">
        <v>25748.030000000006</v>
      </c>
      <c r="V3" s="28">
        <v>0</v>
      </c>
      <c r="W3" s="28">
        <v>4207.28</v>
      </c>
      <c r="X3" s="28">
        <v>-1438.36</v>
      </c>
      <c r="Y3" s="28">
        <v>52003.490000000005</v>
      </c>
    </row>
    <row r="4" spans="1:25" ht="15" customHeight="1" x14ac:dyDescent="0.25">
      <c r="A4" s="8" t="s">
        <v>29</v>
      </c>
      <c r="B4" s="8" t="s">
        <v>153</v>
      </c>
      <c r="C4" s="28">
        <v>0</v>
      </c>
      <c r="D4" s="28">
        <v>0</v>
      </c>
      <c r="E4" s="28">
        <v>8731.8000000000011</v>
      </c>
      <c r="F4" s="28">
        <v>0</v>
      </c>
      <c r="G4" s="28">
        <v>0</v>
      </c>
      <c r="H4" s="28">
        <v>-586.7399999999999</v>
      </c>
      <c r="I4" s="28">
        <v>0</v>
      </c>
      <c r="J4" s="28">
        <v>0</v>
      </c>
      <c r="K4" s="28">
        <v>16911.509999999998</v>
      </c>
      <c r="L4" s="28">
        <v>0</v>
      </c>
      <c r="M4" s="28">
        <v>23291.73</v>
      </c>
      <c r="N4" s="28">
        <v>0</v>
      </c>
      <c r="O4" s="28">
        <v>1755.6</v>
      </c>
      <c r="P4" s="28">
        <v>0</v>
      </c>
      <c r="Q4" s="28">
        <v>-341.88</v>
      </c>
      <c r="R4" s="28">
        <v>6909.2100000000009</v>
      </c>
      <c r="S4" s="28">
        <v>-251.79</v>
      </c>
      <c r="T4" s="28">
        <v>0</v>
      </c>
      <c r="U4" s="28">
        <v>1975.0500000000002</v>
      </c>
      <c r="V4" s="28">
        <v>0</v>
      </c>
      <c r="W4" s="28">
        <v>0</v>
      </c>
      <c r="X4" s="28">
        <v>0</v>
      </c>
      <c r="Y4" s="28">
        <v>1755.6</v>
      </c>
    </row>
    <row r="5" spans="1:25" ht="15" customHeight="1" x14ac:dyDescent="0.25">
      <c r="A5" s="8" t="s">
        <v>30</v>
      </c>
      <c r="B5" s="8" t="s">
        <v>153</v>
      </c>
      <c r="C5" s="28">
        <v>6826.82</v>
      </c>
      <c r="D5" s="28">
        <v>0</v>
      </c>
      <c r="E5" s="28">
        <v>0</v>
      </c>
      <c r="F5" s="28">
        <v>0</v>
      </c>
      <c r="G5" s="28">
        <v>0</v>
      </c>
      <c r="H5" s="28">
        <v>-2.2737367544323206E-13</v>
      </c>
      <c r="I5" s="28">
        <v>0</v>
      </c>
      <c r="J5" s="28">
        <v>0</v>
      </c>
      <c r="K5" s="28">
        <v>3157</v>
      </c>
      <c r="L5" s="28">
        <v>0</v>
      </c>
      <c r="M5" s="28">
        <v>23398.76</v>
      </c>
      <c r="N5" s="28">
        <v>0</v>
      </c>
      <c r="O5" s="28">
        <v>0</v>
      </c>
      <c r="P5" s="28">
        <v>0</v>
      </c>
      <c r="Q5" s="28">
        <v>0</v>
      </c>
      <c r="R5" s="28">
        <v>23759.120000000003</v>
      </c>
      <c r="S5" s="28">
        <v>0</v>
      </c>
      <c r="T5" s="28">
        <v>0</v>
      </c>
      <c r="U5" s="28">
        <v>0</v>
      </c>
      <c r="V5" s="28">
        <v>117.04</v>
      </c>
      <c r="W5" s="28">
        <v>0</v>
      </c>
      <c r="X5" s="28">
        <v>0</v>
      </c>
      <c r="Y5" s="28">
        <v>0</v>
      </c>
    </row>
    <row r="6" spans="1:25" ht="15" customHeight="1" x14ac:dyDescent="0.25">
      <c r="A6" s="8" t="s">
        <v>31</v>
      </c>
      <c r="B6" s="8" t="s">
        <v>153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-437.05</v>
      </c>
      <c r="L6" s="28">
        <v>0</v>
      </c>
      <c r="M6" s="28">
        <v>1593.9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</row>
    <row r="7" spans="1:25" ht="15" customHeight="1" x14ac:dyDescent="0.25">
      <c r="A7" s="8" t="s">
        <v>32</v>
      </c>
      <c r="B7" s="8" t="s">
        <v>153</v>
      </c>
      <c r="C7" s="28">
        <v>0</v>
      </c>
      <c r="D7" s="28">
        <v>0</v>
      </c>
      <c r="E7" s="28">
        <v>25918.2</v>
      </c>
      <c r="F7" s="28">
        <v>0</v>
      </c>
      <c r="G7" s="28">
        <v>0</v>
      </c>
      <c r="H7" s="28">
        <v>29373.960000000003</v>
      </c>
      <c r="I7" s="28">
        <v>0</v>
      </c>
      <c r="J7" s="28">
        <v>0</v>
      </c>
      <c r="K7" s="28">
        <v>171492.09000000003</v>
      </c>
      <c r="L7" s="28">
        <v>0</v>
      </c>
      <c r="M7" s="28">
        <v>102376.89000000012</v>
      </c>
      <c r="N7" s="28">
        <v>0</v>
      </c>
      <c r="O7" s="28">
        <v>-3023.79</v>
      </c>
      <c r="P7" s="28">
        <v>0</v>
      </c>
      <c r="Q7" s="28">
        <v>1295.9100000000001</v>
      </c>
      <c r="R7" s="28">
        <v>63067.619999999988</v>
      </c>
      <c r="S7" s="28">
        <v>33693.660000000003</v>
      </c>
      <c r="T7" s="28">
        <v>0</v>
      </c>
      <c r="U7" s="28">
        <v>9071.3700000000008</v>
      </c>
      <c r="V7" s="28">
        <v>28941.989999999998</v>
      </c>
      <c r="W7" s="28">
        <v>0</v>
      </c>
      <c r="X7" s="28">
        <v>3455.76</v>
      </c>
      <c r="Y7" s="28">
        <v>25918.2</v>
      </c>
    </row>
    <row r="8" spans="1:25" ht="15" customHeight="1" x14ac:dyDescent="0.25">
      <c r="A8" s="8" t="s">
        <v>33</v>
      </c>
      <c r="B8" s="8" t="s">
        <v>153</v>
      </c>
      <c r="C8" s="28">
        <v>0</v>
      </c>
      <c r="D8" s="28">
        <v>0</v>
      </c>
      <c r="E8" s="28">
        <v>12416.02</v>
      </c>
      <c r="F8" s="28">
        <v>403535.21</v>
      </c>
      <c r="G8" s="28">
        <v>66793.489999999991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4942.78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</row>
    <row r="9" spans="1:25" ht="15" customHeight="1" x14ac:dyDescent="0.25">
      <c r="A9" s="8" t="s">
        <v>34</v>
      </c>
      <c r="B9" s="8" t="s">
        <v>153</v>
      </c>
      <c r="C9" s="28">
        <v>100977.01</v>
      </c>
      <c r="D9" s="28">
        <v>42559.3</v>
      </c>
      <c r="E9" s="28">
        <v>54051.69</v>
      </c>
      <c r="F9" s="28">
        <v>0</v>
      </c>
      <c r="G9" s="28">
        <v>0</v>
      </c>
      <c r="H9" s="28">
        <v>124936.49000000002</v>
      </c>
      <c r="I9" s="28">
        <v>52378.75</v>
      </c>
      <c r="J9" s="28">
        <v>0</v>
      </c>
      <c r="K9" s="28">
        <v>174721.03999999998</v>
      </c>
      <c r="L9" s="28">
        <v>0</v>
      </c>
      <c r="M9" s="28">
        <v>451438.59000000026</v>
      </c>
      <c r="N9" s="28">
        <v>79932.900000000009</v>
      </c>
      <c r="O9" s="28">
        <v>-6934.43</v>
      </c>
      <c r="P9" s="28">
        <v>0</v>
      </c>
      <c r="Q9" s="28">
        <v>10203.33</v>
      </c>
      <c r="R9" s="28">
        <v>75391.029999999984</v>
      </c>
      <c r="S9" s="28">
        <v>54.079999999999842</v>
      </c>
      <c r="T9" s="28">
        <v>10886.260000000002</v>
      </c>
      <c r="U9" s="28">
        <v>126326.2</v>
      </c>
      <c r="V9" s="28">
        <v>101593.02000000003</v>
      </c>
      <c r="W9" s="28">
        <v>13442.02</v>
      </c>
      <c r="X9" s="28">
        <v>0</v>
      </c>
      <c r="Y9" s="28">
        <v>47895.54</v>
      </c>
    </row>
    <row r="10" spans="1:25" ht="15" customHeight="1" x14ac:dyDescent="0.25">
      <c r="A10" s="8" t="s">
        <v>35</v>
      </c>
      <c r="B10" s="8" t="s">
        <v>153</v>
      </c>
      <c r="C10" s="28">
        <v>0</v>
      </c>
      <c r="D10" s="28">
        <v>0</v>
      </c>
      <c r="E10" s="28">
        <v>-851.62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-1617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-20860.07</v>
      </c>
      <c r="Y10" s="28">
        <v>0</v>
      </c>
    </row>
    <row r="11" spans="1:25" ht="15" customHeight="1" x14ac:dyDescent="0.25">
      <c r="A11" s="8" t="s">
        <v>36</v>
      </c>
      <c r="B11" s="8" t="s">
        <v>153</v>
      </c>
      <c r="C11" s="28">
        <v>36831.409999999996</v>
      </c>
      <c r="D11" s="28">
        <v>0</v>
      </c>
      <c r="E11" s="28">
        <v>3446.5200000000004</v>
      </c>
      <c r="F11" s="28">
        <v>0</v>
      </c>
      <c r="G11" s="28">
        <v>0</v>
      </c>
      <c r="H11" s="28">
        <v>13184.710000000001</v>
      </c>
      <c r="I11" s="28">
        <v>0</v>
      </c>
      <c r="J11" s="28">
        <v>0</v>
      </c>
      <c r="K11" s="28">
        <v>32566.379999999997</v>
      </c>
      <c r="L11" s="28">
        <v>0</v>
      </c>
      <c r="M11" s="28">
        <v>24008.6</v>
      </c>
      <c r="N11" s="28">
        <v>7718.4800000000014</v>
      </c>
      <c r="O11" s="28">
        <v>2745.8199999999997</v>
      </c>
      <c r="P11" s="28">
        <v>0</v>
      </c>
      <c r="Q11" s="28">
        <v>0</v>
      </c>
      <c r="R11" s="28">
        <v>314.16000000000003</v>
      </c>
      <c r="S11" s="28">
        <v>0</v>
      </c>
      <c r="T11" s="28">
        <v>0</v>
      </c>
      <c r="U11" s="28">
        <v>0</v>
      </c>
      <c r="V11" s="28">
        <v>-60.830000000000041</v>
      </c>
      <c r="W11" s="28">
        <v>0</v>
      </c>
      <c r="X11" s="28">
        <v>0</v>
      </c>
      <c r="Y11" s="28">
        <v>23554.3</v>
      </c>
    </row>
    <row r="12" spans="1:25" ht="15" customHeight="1" x14ac:dyDescent="0.25">
      <c r="A12" s="8" t="s">
        <v>37</v>
      </c>
      <c r="B12" s="8" t="s">
        <v>153</v>
      </c>
      <c r="C12" s="28">
        <v>5122.9099999999971</v>
      </c>
      <c r="D12" s="28">
        <v>0</v>
      </c>
      <c r="E12" s="28">
        <v>26457.200000000001</v>
      </c>
      <c r="F12" s="28">
        <v>0</v>
      </c>
      <c r="G12" s="28">
        <v>0</v>
      </c>
      <c r="H12" s="28">
        <v>73765.169999999984</v>
      </c>
      <c r="I12" s="28">
        <v>0</v>
      </c>
      <c r="J12" s="28">
        <v>0</v>
      </c>
      <c r="K12" s="28">
        <v>49668.649999999972</v>
      </c>
      <c r="L12" s="28">
        <v>0</v>
      </c>
      <c r="M12" s="28">
        <v>190883.99000000002</v>
      </c>
      <c r="N12" s="28">
        <v>61574.87000000001</v>
      </c>
      <c r="O12" s="28">
        <v>-3954.1999999999989</v>
      </c>
      <c r="P12" s="28">
        <v>0</v>
      </c>
      <c r="Q12" s="28">
        <v>16076.910000000003</v>
      </c>
      <c r="R12" s="28">
        <v>14434.680000000002</v>
      </c>
      <c r="S12" s="28">
        <v>15891.729999999996</v>
      </c>
      <c r="T12" s="28">
        <v>1096.48</v>
      </c>
      <c r="U12" s="28">
        <v>110478.8099999999</v>
      </c>
      <c r="V12" s="28">
        <v>107875.87000000004</v>
      </c>
      <c r="W12" s="28">
        <v>-1287.3499999999999</v>
      </c>
      <c r="X12" s="28">
        <v>-1336.03</v>
      </c>
      <c r="Y12" s="28">
        <v>77628.259999999966</v>
      </c>
    </row>
    <row r="13" spans="1:25" ht="15" customHeight="1" x14ac:dyDescent="0.25">
      <c r="A13" s="8" t="s">
        <v>38</v>
      </c>
      <c r="B13" s="8" t="s">
        <v>153</v>
      </c>
      <c r="C13" s="28">
        <v>13887.720000000005</v>
      </c>
      <c r="D13" s="28">
        <v>0</v>
      </c>
      <c r="E13" s="28">
        <v>9555.7000000000007</v>
      </c>
      <c r="F13" s="28">
        <v>0</v>
      </c>
      <c r="G13" s="28">
        <v>0</v>
      </c>
      <c r="H13" s="28">
        <v>3557.4000000000005</v>
      </c>
      <c r="I13" s="28">
        <v>0</v>
      </c>
      <c r="J13" s="28">
        <v>0</v>
      </c>
      <c r="K13" s="28">
        <v>18562.39</v>
      </c>
      <c r="L13" s="28">
        <v>0</v>
      </c>
      <c r="M13" s="28">
        <v>53516.540000000008</v>
      </c>
      <c r="N13" s="28">
        <v>2286.9</v>
      </c>
      <c r="O13" s="28">
        <v>-200.96999999999991</v>
      </c>
      <c r="P13" s="28">
        <v>0</v>
      </c>
      <c r="Q13" s="28">
        <v>9988.44</v>
      </c>
      <c r="R13" s="28">
        <v>3896.2</v>
      </c>
      <c r="S13" s="28">
        <v>0</v>
      </c>
      <c r="T13" s="28">
        <v>0</v>
      </c>
      <c r="U13" s="28">
        <v>5142.0599999999995</v>
      </c>
      <c r="V13" s="28">
        <v>0</v>
      </c>
      <c r="W13" s="28">
        <v>0</v>
      </c>
      <c r="X13" s="28">
        <v>0</v>
      </c>
      <c r="Y13" s="28">
        <v>20328.000000000004</v>
      </c>
    </row>
    <row r="14" spans="1:25" ht="15" customHeight="1" x14ac:dyDescent="0.25">
      <c r="A14" s="8" t="s">
        <v>39</v>
      </c>
      <c r="B14" s="8" t="s">
        <v>153</v>
      </c>
      <c r="C14" s="28">
        <v>14458.289999999997</v>
      </c>
      <c r="D14" s="28">
        <v>0</v>
      </c>
      <c r="E14" s="28">
        <v>4019.3999999999996</v>
      </c>
      <c r="F14" s="28">
        <v>0</v>
      </c>
      <c r="G14" s="28">
        <v>2310</v>
      </c>
      <c r="H14" s="28">
        <v>56849.869999999974</v>
      </c>
      <c r="I14" s="28">
        <v>0</v>
      </c>
      <c r="J14" s="28">
        <v>0</v>
      </c>
      <c r="K14" s="28">
        <v>140406.41999999998</v>
      </c>
      <c r="L14" s="28">
        <v>0</v>
      </c>
      <c r="M14" s="28">
        <v>70073.849999999991</v>
      </c>
      <c r="N14" s="28">
        <v>23078.44000000001</v>
      </c>
      <c r="O14" s="28">
        <v>46196.150000000009</v>
      </c>
      <c r="P14" s="28">
        <v>0</v>
      </c>
      <c r="Q14" s="28">
        <v>6587.35</v>
      </c>
      <c r="R14" s="28">
        <v>39895.239999999991</v>
      </c>
      <c r="S14" s="28">
        <v>22140.580000000005</v>
      </c>
      <c r="T14" s="28">
        <v>0</v>
      </c>
      <c r="U14" s="28">
        <v>567.49</v>
      </c>
      <c r="V14" s="28">
        <v>780.78</v>
      </c>
      <c r="W14" s="28">
        <v>12192.18</v>
      </c>
      <c r="X14" s="28">
        <v>0</v>
      </c>
      <c r="Y14" s="28">
        <v>86611.140000000029</v>
      </c>
    </row>
    <row r="15" spans="1:25" ht="15" customHeight="1" x14ac:dyDescent="0.25">
      <c r="A15" s="8" t="s">
        <v>40</v>
      </c>
      <c r="B15" s="8" t="s">
        <v>153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-369.6</v>
      </c>
      <c r="I15" s="28">
        <v>0</v>
      </c>
      <c r="J15" s="28">
        <v>0</v>
      </c>
      <c r="K15" s="28">
        <v>0</v>
      </c>
      <c r="L15" s="28">
        <v>0</v>
      </c>
      <c r="M15" s="28">
        <v>-7638.4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</row>
    <row r="16" spans="1:25" ht="15" customHeight="1" x14ac:dyDescent="0.25">
      <c r="A16" s="8" t="s">
        <v>41</v>
      </c>
      <c r="B16" s="8" t="s">
        <v>153</v>
      </c>
      <c r="C16" s="28">
        <v>101362.48999999993</v>
      </c>
      <c r="D16" s="28">
        <v>0</v>
      </c>
      <c r="E16" s="28">
        <v>108091.82999999999</v>
      </c>
      <c r="F16" s="28">
        <v>0</v>
      </c>
      <c r="G16" s="28">
        <v>0</v>
      </c>
      <c r="H16" s="28">
        <v>47946.96999999995</v>
      </c>
      <c r="I16" s="28">
        <v>0</v>
      </c>
      <c r="J16" s="28">
        <v>0</v>
      </c>
      <c r="K16" s="28">
        <v>193260.74999999988</v>
      </c>
      <c r="L16" s="28">
        <v>0</v>
      </c>
      <c r="M16" s="28">
        <v>477913.1100000001</v>
      </c>
      <c r="N16" s="28">
        <v>28132.719999999994</v>
      </c>
      <c r="O16" s="28">
        <v>49307.719999999987</v>
      </c>
      <c r="P16" s="28">
        <v>0</v>
      </c>
      <c r="Q16" s="28">
        <v>58573.900000000023</v>
      </c>
      <c r="R16" s="28">
        <v>197198.84999999986</v>
      </c>
      <c r="S16" s="28">
        <v>24089.449999999997</v>
      </c>
      <c r="T16" s="28">
        <v>24409.769999999997</v>
      </c>
      <c r="U16" s="28">
        <v>107948.60999999993</v>
      </c>
      <c r="V16" s="28">
        <v>668.36</v>
      </c>
      <c r="W16" s="28">
        <v>23744.489999999983</v>
      </c>
      <c r="X16" s="28">
        <v>11552.309999999998</v>
      </c>
      <c r="Y16" s="28">
        <v>198953.36999999988</v>
      </c>
    </row>
    <row r="17" spans="1:25" ht="15" customHeight="1" x14ac:dyDescent="0.25">
      <c r="A17" s="8" t="s">
        <v>42</v>
      </c>
      <c r="B17" s="8" t="s">
        <v>153</v>
      </c>
      <c r="C17" s="28">
        <v>91154.909999999974</v>
      </c>
      <c r="D17" s="28">
        <v>0</v>
      </c>
      <c r="E17" s="28">
        <v>47893.23</v>
      </c>
      <c r="F17" s="28">
        <v>0</v>
      </c>
      <c r="G17" s="28">
        <v>0</v>
      </c>
      <c r="H17" s="28">
        <v>386168.08999999973</v>
      </c>
      <c r="I17" s="28">
        <v>0</v>
      </c>
      <c r="J17" s="28">
        <v>0</v>
      </c>
      <c r="K17" s="28">
        <v>429332.74999999971</v>
      </c>
      <c r="L17" s="28">
        <v>0</v>
      </c>
      <c r="M17" s="28">
        <v>373189.01999999996</v>
      </c>
      <c r="N17" s="28">
        <v>19642.700000000008</v>
      </c>
      <c r="O17" s="28">
        <v>51771.4</v>
      </c>
      <c r="P17" s="28">
        <v>0</v>
      </c>
      <c r="Q17" s="28">
        <v>13600.509999999995</v>
      </c>
      <c r="R17" s="28">
        <v>60851.560000000005</v>
      </c>
      <c r="S17" s="28">
        <v>50003.799999999996</v>
      </c>
      <c r="T17" s="28">
        <v>-4889.5000000000009</v>
      </c>
      <c r="U17" s="28">
        <v>50677.549999999967</v>
      </c>
      <c r="V17" s="28">
        <v>63051.44999999999</v>
      </c>
      <c r="W17" s="28">
        <v>16281.769999999997</v>
      </c>
      <c r="X17" s="28">
        <v>304.92000000000007</v>
      </c>
      <c r="Y17" s="28">
        <v>89646.48</v>
      </c>
    </row>
    <row r="18" spans="1:25" ht="15" customHeight="1" x14ac:dyDescent="0.25">
      <c r="A18" s="8" t="s">
        <v>43</v>
      </c>
      <c r="B18" s="8" t="s">
        <v>153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2439.36</v>
      </c>
      <c r="I18" s="28">
        <v>0</v>
      </c>
      <c r="J18" s="28">
        <v>0</v>
      </c>
      <c r="K18" s="28">
        <v>209178.19999999998</v>
      </c>
      <c r="L18" s="28">
        <v>0</v>
      </c>
      <c r="M18" s="28">
        <v>813.12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</row>
    <row r="19" spans="1:25" ht="15" customHeight="1" x14ac:dyDescent="0.25">
      <c r="A19" s="8" t="s">
        <v>44</v>
      </c>
      <c r="B19" s="8" t="s">
        <v>153</v>
      </c>
      <c r="C19" s="28">
        <v>408374.38</v>
      </c>
      <c r="D19" s="28">
        <v>0</v>
      </c>
      <c r="E19" s="28">
        <v>385480.48</v>
      </c>
      <c r="F19" s="28">
        <v>0</v>
      </c>
      <c r="G19" s="28">
        <v>0</v>
      </c>
      <c r="H19" s="28">
        <v>359115.01</v>
      </c>
      <c r="I19" s="28">
        <v>2428.73</v>
      </c>
      <c r="J19" s="28">
        <v>163732.79999999999</v>
      </c>
      <c r="K19" s="28">
        <v>277259.39000000013</v>
      </c>
      <c r="L19" s="28">
        <v>73453.37999999999</v>
      </c>
      <c r="M19" s="28">
        <v>1132442.2799999996</v>
      </c>
      <c r="N19" s="28">
        <v>187543.50999999998</v>
      </c>
      <c r="O19" s="28">
        <v>280859.95999999996</v>
      </c>
      <c r="P19" s="28">
        <v>0</v>
      </c>
      <c r="Q19" s="28">
        <v>2587.1999999999998</v>
      </c>
      <c r="R19" s="28">
        <v>1833870.78</v>
      </c>
      <c r="S19" s="28">
        <v>12896.27</v>
      </c>
      <c r="T19" s="28">
        <v>10053.120000000001</v>
      </c>
      <c r="U19" s="28">
        <v>336729.96999999991</v>
      </c>
      <c r="V19" s="28">
        <v>75721.95</v>
      </c>
      <c r="W19" s="28">
        <v>0</v>
      </c>
      <c r="X19" s="28">
        <v>35925.119999999995</v>
      </c>
      <c r="Y19" s="28">
        <v>278933.55</v>
      </c>
    </row>
    <row r="20" spans="1:25" ht="15" customHeight="1" x14ac:dyDescent="0.25">
      <c r="A20" s="8" t="s">
        <v>45</v>
      </c>
      <c r="B20" s="8" t="s">
        <v>153</v>
      </c>
      <c r="C20" s="28">
        <v>55261.360000000008</v>
      </c>
      <c r="D20" s="28">
        <v>0</v>
      </c>
      <c r="E20" s="28">
        <v>7907.1299999999983</v>
      </c>
      <c r="F20" s="28">
        <v>0</v>
      </c>
      <c r="G20" s="28">
        <v>0</v>
      </c>
      <c r="H20" s="28">
        <v>160186.9500000001</v>
      </c>
      <c r="I20" s="28">
        <v>0</v>
      </c>
      <c r="J20" s="28">
        <v>0</v>
      </c>
      <c r="K20" s="28">
        <v>146073.62000000005</v>
      </c>
      <c r="L20" s="28">
        <v>0</v>
      </c>
      <c r="M20" s="28">
        <v>258087.05999999988</v>
      </c>
      <c r="N20" s="28">
        <v>43531.180000000015</v>
      </c>
      <c r="O20" s="28">
        <v>45997.490000000005</v>
      </c>
      <c r="P20" s="28">
        <v>0</v>
      </c>
      <c r="Q20" s="28">
        <v>0</v>
      </c>
      <c r="R20" s="28">
        <v>35588.860000000015</v>
      </c>
      <c r="S20" s="28">
        <v>2632.63</v>
      </c>
      <c r="T20" s="28">
        <v>0</v>
      </c>
      <c r="U20" s="28">
        <v>39479.439999999995</v>
      </c>
      <c r="V20" s="28">
        <v>0</v>
      </c>
      <c r="W20" s="28">
        <v>11870.319999999998</v>
      </c>
      <c r="X20" s="28">
        <v>0</v>
      </c>
      <c r="Y20" s="28">
        <v>127840.79000000001</v>
      </c>
    </row>
    <row r="21" spans="1:25" ht="15" customHeight="1" x14ac:dyDescent="0.25">
      <c r="A21" s="8" t="s">
        <v>46</v>
      </c>
      <c r="B21" s="8" t="s">
        <v>153</v>
      </c>
      <c r="C21" s="28">
        <v>3514.2799999999997</v>
      </c>
      <c r="D21" s="28">
        <v>0</v>
      </c>
      <c r="E21" s="28">
        <v>125.50999999999999</v>
      </c>
      <c r="F21" s="28">
        <v>0</v>
      </c>
      <c r="G21" s="28">
        <v>0</v>
      </c>
      <c r="H21" s="28">
        <v>-251.02</v>
      </c>
      <c r="I21" s="28">
        <v>0</v>
      </c>
      <c r="J21" s="28">
        <v>0</v>
      </c>
      <c r="K21" s="28">
        <v>16692.829999999994</v>
      </c>
      <c r="L21" s="28">
        <v>0</v>
      </c>
      <c r="M21" s="28">
        <v>47360.390000000021</v>
      </c>
      <c r="N21" s="28">
        <v>2259.1799999999998</v>
      </c>
      <c r="O21" s="28">
        <v>-125.51</v>
      </c>
      <c r="P21" s="28">
        <v>0</v>
      </c>
      <c r="Q21" s="28">
        <v>0</v>
      </c>
      <c r="R21" s="28">
        <v>10166.31</v>
      </c>
      <c r="S21" s="28">
        <v>-1506.12</v>
      </c>
      <c r="T21" s="28">
        <v>0</v>
      </c>
      <c r="U21" s="28">
        <v>11797.939999999995</v>
      </c>
      <c r="V21" s="28">
        <v>8694.69</v>
      </c>
      <c r="W21" s="28">
        <v>0</v>
      </c>
      <c r="X21" s="28">
        <v>3765.2999999999997</v>
      </c>
      <c r="Y21" s="28">
        <v>10542.84</v>
      </c>
    </row>
    <row r="22" spans="1:25" ht="15" customHeight="1" x14ac:dyDescent="0.25">
      <c r="A22" s="8" t="s">
        <v>47</v>
      </c>
      <c r="B22" s="8" t="s">
        <v>153</v>
      </c>
      <c r="C22" s="28">
        <v>0</v>
      </c>
      <c r="D22" s="28">
        <v>0</v>
      </c>
      <c r="E22" s="28">
        <v>-1225.8400000000001</v>
      </c>
      <c r="F22" s="28">
        <v>0</v>
      </c>
      <c r="G22" s="28">
        <v>0</v>
      </c>
      <c r="H22" s="28">
        <v>0</v>
      </c>
      <c r="I22" s="28">
        <v>0</v>
      </c>
      <c r="J22" s="28">
        <v>3713.71</v>
      </c>
      <c r="K22" s="28">
        <v>0</v>
      </c>
      <c r="L22" s="28">
        <v>0</v>
      </c>
      <c r="M22" s="28">
        <v>139.36999999999986</v>
      </c>
      <c r="N22" s="28">
        <v>0</v>
      </c>
      <c r="O22" s="28">
        <v>2322.3200000000002</v>
      </c>
      <c r="P22" s="28">
        <v>0</v>
      </c>
      <c r="Q22" s="28">
        <v>2093.63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</row>
    <row r="23" spans="1:25" ht="15" customHeight="1" x14ac:dyDescent="0.25">
      <c r="A23" s="8" t="s">
        <v>48</v>
      </c>
      <c r="B23" s="8" t="s">
        <v>153</v>
      </c>
      <c r="C23" s="28">
        <v>3465</v>
      </c>
      <c r="D23" s="28">
        <v>0</v>
      </c>
      <c r="E23" s="28">
        <v>78863.400000000009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126126</v>
      </c>
      <c r="L23" s="28">
        <v>0</v>
      </c>
      <c r="M23" s="28">
        <v>16486.47</v>
      </c>
      <c r="N23" s="28">
        <v>22176</v>
      </c>
      <c r="O23" s="28">
        <v>0</v>
      </c>
      <c r="P23" s="28">
        <v>0</v>
      </c>
      <c r="Q23" s="28">
        <v>0</v>
      </c>
      <c r="R23" s="28">
        <v>1774.08</v>
      </c>
      <c r="S23" s="28">
        <v>0</v>
      </c>
      <c r="T23" s="28">
        <v>0</v>
      </c>
      <c r="U23" s="28">
        <v>48295.17</v>
      </c>
      <c r="V23" s="28">
        <v>0</v>
      </c>
      <c r="W23" s="28">
        <v>0</v>
      </c>
      <c r="X23" s="28">
        <v>0</v>
      </c>
      <c r="Y23" s="28">
        <v>81774</v>
      </c>
    </row>
    <row r="24" spans="1:25" ht="15" customHeight="1" x14ac:dyDescent="0.25">
      <c r="A24" s="8" t="s">
        <v>49</v>
      </c>
      <c r="B24" s="8" t="s">
        <v>153</v>
      </c>
      <c r="C24" s="28">
        <v>406.56</v>
      </c>
      <c r="D24" s="28">
        <v>0</v>
      </c>
      <c r="E24" s="28">
        <v>21954.240000000002</v>
      </c>
      <c r="F24" s="28">
        <v>0</v>
      </c>
      <c r="G24" s="28">
        <v>0</v>
      </c>
      <c r="H24" s="28">
        <v>-1201.2</v>
      </c>
      <c r="I24" s="28">
        <v>0</v>
      </c>
      <c r="J24" s="28">
        <v>0</v>
      </c>
      <c r="K24" s="28">
        <v>43104.600000000006</v>
      </c>
      <c r="L24" s="28">
        <v>0</v>
      </c>
      <c r="M24" s="28">
        <v>19454.050000000003</v>
      </c>
      <c r="N24" s="28">
        <v>0</v>
      </c>
      <c r="O24" s="28">
        <v>3659.0400000000004</v>
      </c>
      <c r="P24" s="28">
        <v>0</v>
      </c>
      <c r="Q24" s="28">
        <v>-1778.7</v>
      </c>
      <c r="R24" s="28">
        <v>5285.28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4878.7199999999993</v>
      </c>
      <c r="Y24" s="28">
        <v>0</v>
      </c>
    </row>
    <row r="25" spans="1:25" ht="15" customHeight="1" x14ac:dyDescent="0.25">
      <c r="A25" s="8" t="s">
        <v>50</v>
      </c>
      <c r="B25" s="8" t="s">
        <v>153</v>
      </c>
      <c r="C25" s="28">
        <v>120908.02000000006</v>
      </c>
      <c r="D25" s="28">
        <v>0</v>
      </c>
      <c r="E25" s="28">
        <v>112167.69000000006</v>
      </c>
      <c r="F25" s="28">
        <v>0</v>
      </c>
      <c r="G25" s="28">
        <v>0</v>
      </c>
      <c r="H25" s="28">
        <v>247778.30000000008</v>
      </c>
      <c r="I25" s="28">
        <v>0</v>
      </c>
      <c r="J25" s="28">
        <v>0</v>
      </c>
      <c r="K25" s="28">
        <v>785739.23000000149</v>
      </c>
      <c r="L25" s="28">
        <v>0</v>
      </c>
      <c r="M25" s="28">
        <v>1127328.7200000011</v>
      </c>
      <c r="N25" s="28">
        <v>96389.37000000001</v>
      </c>
      <c r="O25" s="28">
        <v>44127.930000000015</v>
      </c>
      <c r="P25" s="28">
        <v>0</v>
      </c>
      <c r="Q25" s="28">
        <v>2966.0399999999995</v>
      </c>
      <c r="R25" s="28">
        <v>225127.8</v>
      </c>
      <c r="S25" s="28">
        <v>76816.739999999962</v>
      </c>
      <c r="T25" s="28">
        <v>19934.530000000002</v>
      </c>
      <c r="U25" s="28">
        <v>416044.05999999988</v>
      </c>
      <c r="V25" s="28">
        <v>508823.31999999977</v>
      </c>
      <c r="W25" s="28">
        <v>716.1</v>
      </c>
      <c r="X25" s="28">
        <v>674.5200000000001</v>
      </c>
      <c r="Y25" s="28">
        <v>264343.31</v>
      </c>
    </row>
    <row r="26" spans="1:25" ht="15" customHeight="1" x14ac:dyDescent="0.25">
      <c r="A26" s="8" t="s">
        <v>51</v>
      </c>
      <c r="B26" s="8" t="s">
        <v>153</v>
      </c>
      <c r="C26" s="28">
        <v>3605.1400000000003</v>
      </c>
      <c r="D26" s="28">
        <v>0</v>
      </c>
      <c r="E26" s="28">
        <v>6134.5899999999992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2490.9500000000003</v>
      </c>
      <c r="L26" s="28">
        <v>0</v>
      </c>
      <c r="M26" s="28">
        <v>76990.759999999995</v>
      </c>
      <c r="N26" s="28">
        <v>0</v>
      </c>
      <c r="O26" s="28">
        <v>0</v>
      </c>
      <c r="P26" s="28">
        <v>0</v>
      </c>
      <c r="Q26" s="28">
        <v>-231</v>
      </c>
      <c r="R26" s="28">
        <v>2905.98</v>
      </c>
      <c r="S26" s="28">
        <v>-81.619999999999891</v>
      </c>
      <c r="T26" s="28">
        <v>0</v>
      </c>
      <c r="U26" s="28">
        <v>8670.2000000000007</v>
      </c>
      <c r="V26" s="28">
        <v>24653.089999999989</v>
      </c>
      <c r="W26" s="28">
        <v>0</v>
      </c>
      <c r="X26" s="28">
        <v>0</v>
      </c>
      <c r="Y26" s="28">
        <v>12053.580000000002</v>
      </c>
    </row>
    <row r="27" spans="1:25" ht="15" customHeight="1" x14ac:dyDescent="0.25">
      <c r="A27" s="8" t="s">
        <v>52</v>
      </c>
      <c r="B27" s="8" t="s">
        <v>153</v>
      </c>
      <c r="C27" s="28">
        <v>33616.799999999996</v>
      </c>
      <c r="D27" s="28">
        <v>0</v>
      </c>
      <c r="E27" s="28">
        <v>57211</v>
      </c>
      <c r="F27" s="28">
        <v>0</v>
      </c>
      <c r="G27" s="28">
        <v>0</v>
      </c>
      <c r="H27" s="28">
        <v>38664.43</v>
      </c>
      <c r="I27" s="28">
        <v>0</v>
      </c>
      <c r="J27" s="28">
        <v>0</v>
      </c>
      <c r="K27" s="28">
        <v>163713.84000000003</v>
      </c>
      <c r="L27" s="28">
        <v>0</v>
      </c>
      <c r="M27" s="28">
        <v>126176.37000000002</v>
      </c>
      <c r="N27" s="28">
        <v>12528.670000000002</v>
      </c>
      <c r="O27" s="28">
        <v>-5037.7900000000009</v>
      </c>
      <c r="P27" s="28">
        <v>0</v>
      </c>
      <c r="Q27" s="28">
        <v>0</v>
      </c>
      <c r="R27" s="28">
        <v>95757.869999999981</v>
      </c>
      <c r="S27" s="28">
        <v>0</v>
      </c>
      <c r="T27" s="28">
        <v>0</v>
      </c>
      <c r="U27" s="28">
        <v>74651.5</v>
      </c>
      <c r="V27" s="28">
        <v>117798.1</v>
      </c>
      <c r="W27" s="28">
        <v>0</v>
      </c>
      <c r="X27" s="28">
        <v>1024.1000000000004</v>
      </c>
      <c r="Y27" s="28">
        <v>61254.619999999995</v>
      </c>
    </row>
    <row r="28" spans="1:25" ht="15" customHeight="1" x14ac:dyDescent="0.25">
      <c r="A28" s="8" t="s">
        <v>53</v>
      </c>
      <c r="B28" s="8" t="s">
        <v>153</v>
      </c>
      <c r="C28" s="28">
        <v>12798.170000000002</v>
      </c>
      <c r="D28" s="28">
        <v>0</v>
      </c>
      <c r="E28" s="28">
        <v>5548.6200000000008</v>
      </c>
      <c r="F28" s="28">
        <v>0</v>
      </c>
      <c r="G28" s="28">
        <v>0</v>
      </c>
      <c r="H28" s="28">
        <v>18751.04</v>
      </c>
      <c r="I28" s="28">
        <v>0</v>
      </c>
      <c r="J28" s="28">
        <v>0</v>
      </c>
      <c r="K28" s="28">
        <v>0</v>
      </c>
      <c r="L28" s="28">
        <v>0</v>
      </c>
      <c r="M28" s="28">
        <v>85403.77999999997</v>
      </c>
      <c r="N28" s="28">
        <v>0</v>
      </c>
      <c r="O28" s="28">
        <v>0</v>
      </c>
      <c r="P28" s="28">
        <v>0</v>
      </c>
      <c r="Q28" s="28">
        <v>-8079.6100000000006</v>
      </c>
      <c r="R28" s="28">
        <v>22079.75</v>
      </c>
      <c r="S28" s="28">
        <v>0</v>
      </c>
      <c r="T28" s="28">
        <v>0</v>
      </c>
      <c r="U28" s="28">
        <v>2049.7400000000002</v>
      </c>
      <c r="V28" s="28">
        <v>556.71</v>
      </c>
      <c r="W28" s="28">
        <v>0</v>
      </c>
      <c r="X28" s="28">
        <v>0</v>
      </c>
      <c r="Y28" s="28">
        <v>7979.51</v>
      </c>
    </row>
    <row r="29" spans="1:25" ht="15" customHeight="1" x14ac:dyDescent="0.25">
      <c r="A29" s="8" t="s">
        <v>54</v>
      </c>
      <c r="B29" s="8" t="s">
        <v>153</v>
      </c>
      <c r="C29" s="28">
        <v>9648.869999999999</v>
      </c>
      <c r="D29" s="28">
        <v>0</v>
      </c>
      <c r="E29" s="28">
        <v>-105.49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202303.18</v>
      </c>
      <c r="L29" s="28">
        <v>0</v>
      </c>
      <c r="M29" s="28">
        <v>22857.300000000003</v>
      </c>
      <c r="N29" s="28">
        <v>11323.62</v>
      </c>
      <c r="O29" s="28">
        <v>6652.7999999999993</v>
      </c>
      <c r="P29" s="28">
        <v>0</v>
      </c>
      <c r="Q29" s="28">
        <v>924</v>
      </c>
      <c r="R29" s="28">
        <v>-1911.91</v>
      </c>
      <c r="S29" s="28">
        <v>-2217.6</v>
      </c>
      <c r="T29" s="28">
        <v>0</v>
      </c>
      <c r="U29" s="28">
        <v>209.44000000000003</v>
      </c>
      <c r="V29" s="28">
        <v>0</v>
      </c>
      <c r="W29" s="28">
        <v>0</v>
      </c>
      <c r="X29" s="28">
        <v>0</v>
      </c>
      <c r="Y29" s="28">
        <v>6278.58</v>
      </c>
    </row>
    <row r="30" spans="1:25" ht="15" customHeight="1" x14ac:dyDescent="0.25">
      <c r="A30" s="8" t="s">
        <v>55</v>
      </c>
      <c r="B30" s="8" t="s">
        <v>153</v>
      </c>
      <c r="C30" s="28">
        <v>3796.8700000000003</v>
      </c>
      <c r="D30" s="28">
        <v>1829.52</v>
      </c>
      <c r="E30" s="28">
        <v>7656.1100000000006</v>
      </c>
      <c r="F30" s="28">
        <v>0</v>
      </c>
      <c r="G30" s="28">
        <v>0</v>
      </c>
      <c r="H30" s="28">
        <v>18447.66</v>
      </c>
      <c r="I30" s="28">
        <v>0</v>
      </c>
      <c r="J30" s="28">
        <v>0</v>
      </c>
      <c r="K30" s="28">
        <v>18970.939999999999</v>
      </c>
      <c r="L30" s="28">
        <v>0</v>
      </c>
      <c r="M30" s="28">
        <v>18669.410000000003</v>
      </c>
      <c r="N30" s="28">
        <v>8911.9800000000014</v>
      </c>
      <c r="O30" s="28">
        <v>13761.44</v>
      </c>
      <c r="P30" s="28">
        <v>0</v>
      </c>
      <c r="Q30" s="28">
        <v>1164.24</v>
      </c>
      <c r="R30" s="28">
        <v>6905.9799999999987</v>
      </c>
      <c r="S30" s="28">
        <v>8052.9699999999993</v>
      </c>
      <c r="T30" s="28">
        <v>0</v>
      </c>
      <c r="U30" s="28">
        <v>6045.27</v>
      </c>
      <c r="V30" s="28">
        <v>135.52000000000001</v>
      </c>
      <c r="W30" s="28">
        <v>2367.75</v>
      </c>
      <c r="X30" s="28">
        <v>-669.28</v>
      </c>
      <c r="Y30" s="28">
        <v>36327.06</v>
      </c>
    </row>
    <row r="31" spans="1:25" ht="15" customHeight="1" x14ac:dyDescent="0.25">
      <c r="A31" s="8" t="s">
        <v>56</v>
      </c>
      <c r="B31" s="8" t="s">
        <v>153</v>
      </c>
      <c r="C31" s="28">
        <v>14629.229999999998</v>
      </c>
      <c r="D31" s="28">
        <v>0</v>
      </c>
      <c r="E31" s="28">
        <v>24868.689999999995</v>
      </c>
      <c r="F31" s="28">
        <v>0</v>
      </c>
      <c r="G31" s="28">
        <v>0</v>
      </c>
      <c r="H31" s="28">
        <v>93916.749999999898</v>
      </c>
      <c r="I31" s="28">
        <v>-4764.76</v>
      </c>
      <c r="J31" s="28">
        <v>0</v>
      </c>
      <c r="K31" s="28">
        <v>67579.819999999963</v>
      </c>
      <c r="L31" s="28">
        <v>0</v>
      </c>
      <c r="M31" s="28">
        <v>344701.27999999974</v>
      </c>
      <c r="N31" s="28">
        <v>12172.16</v>
      </c>
      <c r="O31" s="28">
        <v>46680.479999999981</v>
      </c>
      <c r="P31" s="28">
        <v>0</v>
      </c>
      <c r="Q31" s="28">
        <v>0</v>
      </c>
      <c r="R31" s="28">
        <v>46836.789999999979</v>
      </c>
      <c r="S31" s="28">
        <v>653.73</v>
      </c>
      <c r="T31" s="28">
        <v>0</v>
      </c>
      <c r="U31" s="28">
        <v>20251</v>
      </c>
      <c r="V31" s="28">
        <v>153596.51999999987</v>
      </c>
      <c r="W31" s="28">
        <v>4075.6100000000006</v>
      </c>
      <c r="X31" s="28">
        <v>0</v>
      </c>
      <c r="Y31" s="28">
        <v>126052.85</v>
      </c>
    </row>
    <row r="32" spans="1:25" ht="15" customHeight="1" x14ac:dyDescent="0.25">
      <c r="A32" s="8" t="s">
        <v>57</v>
      </c>
      <c r="B32" s="8" t="s">
        <v>153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3584.35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</row>
    <row r="33" spans="1:25" ht="15" customHeight="1" x14ac:dyDescent="0.25">
      <c r="A33" s="8" t="s">
        <v>58</v>
      </c>
      <c r="B33" s="8" t="s">
        <v>153</v>
      </c>
      <c r="C33" s="28">
        <v>89930.609999999986</v>
      </c>
      <c r="D33" s="28">
        <v>0</v>
      </c>
      <c r="E33" s="28">
        <v>94229.520000000019</v>
      </c>
      <c r="F33" s="28">
        <v>0</v>
      </c>
      <c r="G33" s="28">
        <v>0</v>
      </c>
      <c r="H33" s="28">
        <v>136403.19</v>
      </c>
      <c r="I33" s="28">
        <v>23737.56</v>
      </c>
      <c r="J33" s="28">
        <v>0</v>
      </c>
      <c r="K33" s="28">
        <v>384059.82999999978</v>
      </c>
      <c r="L33" s="28">
        <v>0</v>
      </c>
      <c r="M33" s="28">
        <v>937393.37999999919</v>
      </c>
      <c r="N33" s="28">
        <v>224849.16000000015</v>
      </c>
      <c r="O33" s="28">
        <v>34975.529999999992</v>
      </c>
      <c r="P33" s="28">
        <v>0</v>
      </c>
      <c r="Q33" s="28">
        <v>56191.51999999999</v>
      </c>
      <c r="R33" s="28">
        <v>319563.71000000025</v>
      </c>
      <c r="S33" s="28">
        <v>-5022.8599999999997</v>
      </c>
      <c r="T33" s="28">
        <v>0</v>
      </c>
      <c r="U33" s="28">
        <v>306384.96000000014</v>
      </c>
      <c r="V33" s="28">
        <v>23464.000000000011</v>
      </c>
      <c r="W33" s="28">
        <v>1039.5</v>
      </c>
      <c r="X33" s="28">
        <v>1367.52</v>
      </c>
      <c r="Y33" s="28">
        <v>353953.78</v>
      </c>
    </row>
    <row r="34" spans="1:25" ht="15" customHeight="1" x14ac:dyDescent="0.25">
      <c r="A34" s="8" t="s">
        <v>59</v>
      </c>
      <c r="B34" s="8" t="s">
        <v>153</v>
      </c>
      <c r="C34" s="28">
        <v>0</v>
      </c>
      <c r="D34" s="28">
        <v>0</v>
      </c>
      <c r="E34" s="28">
        <v>-375.76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-298.76</v>
      </c>
      <c r="L34" s="28">
        <v>0</v>
      </c>
      <c r="M34" s="28">
        <v>-1131.9000000000001</v>
      </c>
      <c r="N34" s="28">
        <v>-1358.28</v>
      </c>
      <c r="O34" s="28">
        <v>0</v>
      </c>
      <c r="P34" s="28">
        <v>0</v>
      </c>
      <c r="Q34" s="28">
        <v>-2188.3399999999997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</row>
    <row r="35" spans="1:25" ht="15" customHeight="1" x14ac:dyDescent="0.25">
      <c r="A35" s="8" t="s">
        <v>60</v>
      </c>
      <c r="B35" s="8" t="s">
        <v>153</v>
      </c>
      <c r="C35" s="28">
        <v>0</v>
      </c>
      <c r="D35" s="28">
        <v>0</v>
      </c>
      <c r="E35" s="28">
        <v>-166.32</v>
      </c>
      <c r="F35" s="28">
        <v>0</v>
      </c>
      <c r="G35" s="28">
        <v>0</v>
      </c>
      <c r="H35" s="28">
        <v>-1149.6100000000001</v>
      </c>
      <c r="I35" s="28">
        <v>0</v>
      </c>
      <c r="J35" s="28">
        <v>0</v>
      </c>
      <c r="K35" s="28">
        <v>0</v>
      </c>
      <c r="L35" s="28">
        <v>0</v>
      </c>
      <c r="M35" s="28">
        <v>-16774.45</v>
      </c>
      <c r="N35" s="28">
        <v>0</v>
      </c>
      <c r="O35" s="28">
        <v>0</v>
      </c>
      <c r="P35" s="28">
        <v>0</v>
      </c>
      <c r="Q35" s="28">
        <v>0</v>
      </c>
      <c r="R35" s="28">
        <v>-83.16</v>
      </c>
      <c r="S35" s="28">
        <v>0</v>
      </c>
      <c r="T35" s="28">
        <v>0</v>
      </c>
      <c r="U35" s="28">
        <v>-1534.61</v>
      </c>
      <c r="V35" s="28">
        <v>0</v>
      </c>
      <c r="W35" s="28">
        <v>0</v>
      </c>
      <c r="X35" s="28">
        <v>0</v>
      </c>
      <c r="Y35" s="28">
        <v>0</v>
      </c>
    </row>
    <row r="36" spans="1:25" ht="15" customHeight="1" x14ac:dyDescent="0.25">
      <c r="A36" s="8" t="s">
        <v>61</v>
      </c>
      <c r="B36" s="8" t="s">
        <v>153</v>
      </c>
      <c r="C36" s="28">
        <v>0</v>
      </c>
      <c r="D36" s="28">
        <v>0</v>
      </c>
      <c r="E36" s="28">
        <v>-36511.089999999989</v>
      </c>
      <c r="F36" s="28">
        <v>0</v>
      </c>
      <c r="G36" s="28">
        <v>0</v>
      </c>
      <c r="H36" s="28">
        <v>-3068.45</v>
      </c>
      <c r="I36" s="28">
        <v>0</v>
      </c>
      <c r="J36" s="28">
        <v>0</v>
      </c>
      <c r="K36" s="28">
        <v>-23557.380000000005</v>
      </c>
      <c r="L36" s="28">
        <v>0</v>
      </c>
      <c r="M36" s="28">
        <v>-15422.33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-3118.5</v>
      </c>
      <c r="V36" s="28">
        <v>0</v>
      </c>
      <c r="W36" s="28">
        <v>0</v>
      </c>
      <c r="X36" s="28">
        <v>0</v>
      </c>
      <c r="Y36" s="28">
        <v>0</v>
      </c>
    </row>
    <row r="37" spans="1:25" ht="15" customHeight="1" x14ac:dyDescent="0.25">
      <c r="A37" s="8" t="s">
        <v>62</v>
      </c>
      <c r="B37" s="8" t="s">
        <v>153</v>
      </c>
      <c r="C37" s="28">
        <v>0</v>
      </c>
      <c r="D37" s="28">
        <v>0</v>
      </c>
      <c r="E37" s="28">
        <v>-21864.920000000002</v>
      </c>
      <c r="F37" s="28">
        <v>124526.07999999999</v>
      </c>
      <c r="G37" s="28">
        <v>0</v>
      </c>
      <c r="H37" s="28">
        <v>19963.79</v>
      </c>
      <c r="I37" s="28">
        <v>0</v>
      </c>
      <c r="J37" s="28">
        <v>0</v>
      </c>
      <c r="K37" s="28">
        <v>85808.799999999988</v>
      </c>
      <c r="L37" s="28">
        <v>0</v>
      </c>
      <c r="M37" s="28">
        <v>121217.25000000001</v>
      </c>
      <c r="N37" s="28">
        <v>27604.5</v>
      </c>
      <c r="O37" s="28">
        <v>12664.960000000001</v>
      </c>
      <c r="P37" s="28">
        <v>0</v>
      </c>
      <c r="Q37" s="28">
        <v>-7764.68</v>
      </c>
      <c r="R37" s="28">
        <v>46583.460000000006</v>
      </c>
      <c r="S37" s="28">
        <v>1958.88</v>
      </c>
      <c r="T37" s="28">
        <v>0</v>
      </c>
      <c r="U37" s="28">
        <v>431.2</v>
      </c>
      <c r="V37" s="28">
        <v>2387</v>
      </c>
      <c r="W37" s="28">
        <v>0</v>
      </c>
      <c r="X37" s="28">
        <v>2156</v>
      </c>
      <c r="Y37" s="28">
        <v>57772.33</v>
      </c>
    </row>
    <row r="38" spans="1:25" ht="15" customHeight="1" x14ac:dyDescent="0.25">
      <c r="A38" s="8" t="s">
        <v>63</v>
      </c>
      <c r="B38" s="8" t="s">
        <v>153</v>
      </c>
      <c r="C38" s="28">
        <v>38914.100000000006</v>
      </c>
      <c r="D38" s="28">
        <v>428919.82</v>
      </c>
      <c r="E38" s="28">
        <v>61778.409999999982</v>
      </c>
      <c r="F38" s="28">
        <v>2764.8</v>
      </c>
      <c r="G38" s="28">
        <v>0</v>
      </c>
      <c r="H38" s="28">
        <v>169512.89000000004</v>
      </c>
      <c r="I38" s="28">
        <v>22792</v>
      </c>
      <c r="J38" s="28">
        <v>0</v>
      </c>
      <c r="K38" s="28">
        <v>271798.38000000012</v>
      </c>
      <c r="L38" s="28">
        <v>0</v>
      </c>
      <c r="M38" s="28">
        <v>767236.05999999959</v>
      </c>
      <c r="N38" s="28">
        <v>81844.060000000027</v>
      </c>
      <c r="O38" s="28">
        <v>48703.580000000009</v>
      </c>
      <c r="P38" s="28">
        <v>0</v>
      </c>
      <c r="Q38" s="28">
        <v>1275.1199999999999</v>
      </c>
      <c r="R38" s="28">
        <v>248396.00000000003</v>
      </c>
      <c r="S38" s="28">
        <v>39590.14</v>
      </c>
      <c r="T38" s="28">
        <v>0</v>
      </c>
      <c r="U38" s="28">
        <v>374775.16999999969</v>
      </c>
      <c r="V38" s="28">
        <v>294562.72999999957</v>
      </c>
      <c r="W38" s="28">
        <v>5174.3999999999996</v>
      </c>
      <c r="X38" s="28">
        <v>-1136.52</v>
      </c>
      <c r="Y38" s="28">
        <v>142034.97000000006</v>
      </c>
    </row>
    <row r="39" spans="1:25" ht="15" customHeight="1" x14ac:dyDescent="0.25">
      <c r="A39" s="8" t="s">
        <v>64</v>
      </c>
      <c r="B39" s="8" t="s">
        <v>153</v>
      </c>
      <c r="C39" s="28">
        <v>104902.01999999996</v>
      </c>
      <c r="D39" s="28">
        <v>0</v>
      </c>
      <c r="E39" s="28">
        <v>135532.32</v>
      </c>
      <c r="F39" s="28">
        <v>0</v>
      </c>
      <c r="G39" s="28">
        <v>0</v>
      </c>
      <c r="H39" s="28">
        <v>44466.110000000008</v>
      </c>
      <c r="I39" s="28">
        <v>0</v>
      </c>
      <c r="J39" s="28">
        <v>0</v>
      </c>
      <c r="K39" s="28">
        <v>186694.19999999998</v>
      </c>
      <c r="L39" s="28">
        <v>0</v>
      </c>
      <c r="M39" s="28">
        <v>582323.4299999997</v>
      </c>
      <c r="N39" s="28">
        <v>40215.56</v>
      </c>
      <c r="O39" s="28">
        <v>11943.469999999998</v>
      </c>
      <c r="P39" s="28">
        <v>0</v>
      </c>
      <c r="Q39" s="28">
        <v>0</v>
      </c>
      <c r="R39" s="28">
        <v>239858.85000000003</v>
      </c>
      <c r="S39" s="28">
        <v>5754.98</v>
      </c>
      <c r="T39" s="28">
        <v>0</v>
      </c>
      <c r="U39" s="28">
        <v>46092.969999999994</v>
      </c>
      <c r="V39" s="28">
        <v>53417.209999999992</v>
      </c>
      <c r="W39" s="28">
        <v>20839.28</v>
      </c>
      <c r="X39" s="28">
        <v>7410.48</v>
      </c>
      <c r="Y39" s="28">
        <v>115301.33999999998</v>
      </c>
    </row>
    <row r="40" spans="1:25" ht="15" customHeight="1" x14ac:dyDescent="0.25">
      <c r="A40" s="8" t="s">
        <v>65</v>
      </c>
      <c r="B40" s="8" t="s">
        <v>153</v>
      </c>
      <c r="C40" s="28">
        <v>1700.16</v>
      </c>
      <c r="D40" s="28">
        <v>0</v>
      </c>
      <c r="E40" s="28">
        <v>1469.16</v>
      </c>
      <c r="F40" s="28">
        <v>0</v>
      </c>
      <c r="G40" s="28">
        <v>0</v>
      </c>
      <c r="H40" s="28">
        <v>850.08</v>
      </c>
      <c r="I40" s="28">
        <v>0</v>
      </c>
      <c r="J40" s="28">
        <v>0</v>
      </c>
      <c r="K40" s="28">
        <v>42189.840000000011</v>
      </c>
      <c r="L40" s="28">
        <v>0</v>
      </c>
      <c r="M40" s="28">
        <v>50237.87999999999</v>
      </c>
      <c r="N40" s="28">
        <v>9369.36</v>
      </c>
      <c r="O40" s="28">
        <v>4222.68</v>
      </c>
      <c r="P40" s="28">
        <v>0</v>
      </c>
      <c r="Q40" s="28">
        <v>0</v>
      </c>
      <c r="R40" s="28">
        <v>4324.32</v>
      </c>
      <c r="S40" s="28">
        <v>-389.47</v>
      </c>
      <c r="T40" s="28">
        <v>0</v>
      </c>
      <c r="U40" s="28">
        <v>12098.240000000002</v>
      </c>
      <c r="V40" s="28">
        <v>72.38</v>
      </c>
      <c r="W40" s="28">
        <v>0</v>
      </c>
      <c r="X40" s="28">
        <v>0</v>
      </c>
      <c r="Y40" s="28">
        <v>24516.800000000003</v>
      </c>
    </row>
    <row r="41" spans="1:25" ht="15" customHeight="1" x14ac:dyDescent="0.25">
      <c r="A41" s="8" t="s">
        <v>66</v>
      </c>
      <c r="B41" s="8" t="s">
        <v>153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11058.579999999998</v>
      </c>
      <c r="L41" s="28">
        <v>0</v>
      </c>
      <c r="M41" s="28">
        <v>15578.64</v>
      </c>
      <c r="N41" s="28">
        <v>5266.7999999999993</v>
      </c>
      <c r="O41" s="28">
        <v>0</v>
      </c>
      <c r="P41" s="28">
        <v>0</v>
      </c>
      <c r="Q41" s="28">
        <v>0</v>
      </c>
      <c r="R41" s="28">
        <v>292.60000000000002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</row>
    <row r="42" spans="1:25" ht="15" customHeight="1" x14ac:dyDescent="0.25">
      <c r="A42" s="8" t="s">
        <v>67</v>
      </c>
      <c r="B42" s="8" t="s">
        <v>153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-245.62999999999997</v>
      </c>
      <c r="I42" s="28">
        <v>0</v>
      </c>
      <c r="J42" s="28">
        <v>0</v>
      </c>
      <c r="K42" s="28">
        <v>-31312.670000000002</v>
      </c>
      <c r="L42" s="28">
        <v>0</v>
      </c>
      <c r="M42" s="28">
        <v>-15373.820000000002</v>
      </c>
      <c r="N42" s="28">
        <v>-1433.74</v>
      </c>
      <c r="O42" s="28">
        <v>-757.68000000000006</v>
      </c>
      <c r="P42" s="28">
        <v>0</v>
      </c>
      <c r="Q42" s="28">
        <v>0</v>
      </c>
      <c r="R42" s="28">
        <v>-694.54</v>
      </c>
      <c r="S42" s="28">
        <v>0</v>
      </c>
      <c r="T42" s="28">
        <v>0</v>
      </c>
      <c r="U42" s="28">
        <v>-113.96</v>
      </c>
      <c r="V42" s="28">
        <v>-56.98</v>
      </c>
      <c r="W42" s="28">
        <v>0</v>
      </c>
      <c r="X42" s="28">
        <v>-850.08</v>
      </c>
      <c r="Y42" s="28">
        <v>0</v>
      </c>
    </row>
    <row r="43" spans="1:25" ht="15" customHeight="1" x14ac:dyDescent="0.25">
      <c r="A43" s="8" t="s">
        <v>68</v>
      </c>
      <c r="B43" s="8" t="s">
        <v>153</v>
      </c>
      <c r="C43" s="28">
        <v>33855.360000000001</v>
      </c>
      <c r="D43" s="28">
        <v>0</v>
      </c>
      <c r="E43" s="28">
        <v>31822.560000000001</v>
      </c>
      <c r="F43" s="28">
        <v>0</v>
      </c>
      <c r="G43" s="28">
        <v>0</v>
      </c>
      <c r="H43" s="28">
        <v>25257.540000000005</v>
      </c>
      <c r="I43" s="28">
        <v>0</v>
      </c>
      <c r="J43" s="28">
        <v>0</v>
      </c>
      <c r="K43" s="28">
        <v>806.18999999999915</v>
      </c>
      <c r="L43" s="28">
        <v>0</v>
      </c>
      <c r="M43" s="28">
        <v>24075.590000000004</v>
      </c>
      <c r="N43" s="28">
        <v>7669.1999999999989</v>
      </c>
      <c r="O43" s="28">
        <v>7287.28</v>
      </c>
      <c r="P43" s="28">
        <v>0</v>
      </c>
      <c r="Q43" s="28">
        <v>1811.04</v>
      </c>
      <c r="R43" s="28">
        <v>-1338.26</v>
      </c>
      <c r="S43" s="28">
        <v>0</v>
      </c>
      <c r="T43" s="28">
        <v>0</v>
      </c>
      <c r="U43" s="28">
        <v>511.28</v>
      </c>
      <c r="V43" s="28">
        <v>32828.949999999997</v>
      </c>
      <c r="W43" s="28">
        <v>0</v>
      </c>
      <c r="X43" s="28">
        <v>0</v>
      </c>
      <c r="Y43" s="28">
        <v>5240.6200000000008</v>
      </c>
    </row>
    <row r="44" spans="1:25" ht="15" customHeight="1" x14ac:dyDescent="0.25">
      <c r="A44" s="8" t="s">
        <v>69</v>
      </c>
      <c r="B44" s="8" t="s">
        <v>153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14118.720000000001</v>
      </c>
      <c r="L44" s="28">
        <v>0</v>
      </c>
      <c r="M44" s="28">
        <v>6431.04</v>
      </c>
      <c r="N44" s="28">
        <v>0</v>
      </c>
      <c r="O44" s="28">
        <v>0</v>
      </c>
      <c r="P44" s="28">
        <v>0</v>
      </c>
      <c r="Q44" s="28">
        <v>0</v>
      </c>
      <c r="R44" s="28">
        <v>3529.6800000000003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</row>
    <row r="45" spans="1:25" ht="15" customHeight="1" x14ac:dyDescent="0.25">
      <c r="A45" s="8" t="s">
        <v>70</v>
      </c>
      <c r="B45" s="8" t="s">
        <v>153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2718.7200000000003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8648.64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</row>
    <row r="46" spans="1:25" ht="15" customHeight="1" x14ac:dyDescent="0.25">
      <c r="A46" s="8" t="s">
        <v>177</v>
      </c>
      <c r="B46" s="8" t="s">
        <v>153</v>
      </c>
      <c r="C46" s="28">
        <v>19103.7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46546.5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877.8</v>
      </c>
      <c r="R46" s="28">
        <v>15985.2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</row>
    <row r="47" spans="1:25" ht="15" customHeight="1" x14ac:dyDescent="0.25">
      <c r="A47" s="8" t="s">
        <v>71</v>
      </c>
      <c r="B47" s="8" t="s">
        <v>153</v>
      </c>
      <c r="C47" s="28">
        <v>20772.600000000002</v>
      </c>
      <c r="D47" s="28">
        <v>0</v>
      </c>
      <c r="E47" s="28">
        <v>12410.710000000003</v>
      </c>
      <c r="F47" s="28">
        <v>0</v>
      </c>
      <c r="G47" s="28">
        <v>0</v>
      </c>
      <c r="H47" s="28">
        <v>17604.510000000002</v>
      </c>
      <c r="I47" s="28">
        <v>0</v>
      </c>
      <c r="J47" s="28">
        <v>0</v>
      </c>
      <c r="K47" s="28">
        <v>9223.2900000000009</v>
      </c>
      <c r="L47" s="28">
        <v>0</v>
      </c>
      <c r="M47" s="28">
        <v>86699.840000000011</v>
      </c>
      <c r="N47" s="28">
        <v>21376.74</v>
      </c>
      <c r="O47" s="28">
        <v>10537.45</v>
      </c>
      <c r="P47" s="28">
        <v>0</v>
      </c>
      <c r="Q47" s="28">
        <v>0</v>
      </c>
      <c r="R47" s="28">
        <v>35940.520000000004</v>
      </c>
      <c r="S47" s="28">
        <v>11719.400000000001</v>
      </c>
      <c r="T47" s="28">
        <v>0</v>
      </c>
      <c r="U47" s="28">
        <v>18578.560000000001</v>
      </c>
      <c r="V47" s="28">
        <v>5107.4100000000008</v>
      </c>
      <c r="W47" s="28">
        <v>0</v>
      </c>
      <c r="X47" s="28">
        <v>2035.88</v>
      </c>
      <c r="Y47" s="28">
        <v>26036.010000000002</v>
      </c>
    </row>
    <row r="48" spans="1:25" ht="15" customHeight="1" x14ac:dyDescent="0.25">
      <c r="A48" s="8" t="s">
        <v>72</v>
      </c>
      <c r="B48" s="8" t="s">
        <v>153</v>
      </c>
      <c r="C48" s="28">
        <v>1603.14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11221.98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</row>
    <row r="49" spans="1:25" ht="15" customHeight="1" x14ac:dyDescent="0.25">
      <c r="A49" s="8" t="s">
        <v>73</v>
      </c>
      <c r="B49" s="8" t="s">
        <v>153</v>
      </c>
      <c r="C49" s="28">
        <v>1949.5700000000002</v>
      </c>
      <c r="D49" s="28">
        <v>0</v>
      </c>
      <c r="E49" s="28">
        <v>28078.050000000003</v>
      </c>
      <c r="F49" s="28">
        <v>0</v>
      </c>
      <c r="G49" s="28">
        <v>0</v>
      </c>
      <c r="H49" s="28">
        <v>19988.430000000011</v>
      </c>
      <c r="I49" s="28">
        <v>0</v>
      </c>
      <c r="J49" s="28">
        <v>0</v>
      </c>
      <c r="K49" s="28">
        <v>65846.48000000001</v>
      </c>
      <c r="L49" s="28">
        <v>0</v>
      </c>
      <c r="M49" s="28">
        <v>302453.48000000016</v>
      </c>
      <c r="N49" s="28">
        <v>0</v>
      </c>
      <c r="O49" s="28">
        <v>2365.44</v>
      </c>
      <c r="P49" s="28">
        <v>0</v>
      </c>
      <c r="Q49" s="28">
        <v>139245.26</v>
      </c>
      <c r="R49" s="28">
        <v>48955.059999999983</v>
      </c>
      <c r="S49" s="28">
        <v>-9139.1299999999974</v>
      </c>
      <c r="T49" s="28">
        <v>0</v>
      </c>
      <c r="U49" s="28">
        <v>643676.88000000024</v>
      </c>
      <c r="V49" s="28">
        <v>434.28000000000003</v>
      </c>
      <c r="W49" s="28">
        <v>0</v>
      </c>
      <c r="X49" s="28">
        <v>0</v>
      </c>
      <c r="Y49" s="28">
        <v>18868.850000000002</v>
      </c>
    </row>
    <row r="50" spans="1:25" ht="15" customHeight="1" x14ac:dyDescent="0.25">
      <c r="A50" s="8" t="s">
        <v>74</v>
      </c>
      <c r="B50" s="8" t="s">
        <v>153</v>
      </c>
      <c r="C50" s="28">
        <v>3141.6</v>
      </c>
      <c r="D50" s="28">
        <v>0</v>
      </c>
      <c r="E50" s="28">
        <v>21252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22674.960000000003</v>
      </c>
      <c r="L50" s="28">
        <v>0</v>
      </c>
      <c r="M50" s="28">
        <v>52400.040000000023</v>
      </c>
      <c r="N50" s="28">
        <v>0</v>
      </c>
      <c r="O50" s="28">
        <v>0</v>
      </c>
      <c r="P50" s="28">
        <v>0</v>
      </c>
      <c r="Q50" s="28">
        <v>0</v>
      </c>
      <c r="R50" s="28">
        <v>11254.32</v>
      </c>
      <c r="S50" s="28">
        <v>0</v>
      </c>
      <c r="T50" s="28">
        <v>0</v>
      </c>
      <c r="U50" s="28">
        <v>31674.720000000005</v>
      </c>
      <c r="V50" s="28">
        <v>0</v>
      </c>
      <c r="W50" s="28">
        <v>0</v>
      </c>
      <c r="X50" s="28">
        <v>0</v>
      </c>
      <c r="Y50" s="28">
        <v>0</v>
      </c>
    </row>
    <row r="51" spans="1:25" ht="15" customHeight="1" x14ac:dyDescent="0.25">
      <c r="A51" s="8" t="s">
        <v>75</v>
      </c>
      <c r="B51" s="8" t="s">
        <v>153</v>
      </c>
      <c r="C51" s="28">
        <v>10287.199999999999</v>
      </c>
      <c r="D51" s="28">
        <v>0</v>
      </c>
      <c r="E51" s="28">
        <v>59908.7</v>
      </c>
      <c r="F51" s="28">
        <v>0</v>
      </c>
      <c r="G51" s="28">
        <v>0</v>
      </c>
      <c r="H51" s="28">
        <v>-4238.08</v>
      </c>
      <c r="I51" s="28">
        <v>0</v>
      </c>
      <c r="J51" s="28">
        <v>0</v>
      </c>
      <c r="K51" s="28">
        <v>-8316</v>
      </c>
      <c r="L51" s="28">
        <v>0</v>
      </c>
      <c r="M51" s="28">
        <v>94090.150000000023</v>
      </c>
      <c r="N51" s="28">
        <v>5548.619999999999</v>
      </c>
      <c r="O51" s="28">
        <v>9212.2800000000007</v>
      </c>
      <c r="P51" s="28">
        <v>0</v>
      </c>
      <c r="Q51" s="28">
        <v>74575.26999999999</v>
      </c>
      <c r="R51" s="28">
        <v>17100.16</v>
      </c>
      <c r="S51" s="28">
        <v>6121.5</v>
      </c>
      <c r="T51" s="28">
        <v>1416.8</v>
      </c>
      <c r="U51" s="28">
        <v>13160.840000000002</v>
      </c>
      <c r="V51" s="28">
        <v>50578.989999999969</v>
      </c>
      <c r="W51" s="28">
        <v>0</v>
      </c>
      <c r="X51" s="28">
        <v>0</v>
      </c>
      <c r="Y51" s="28">
        <v>55413.819999999985</v>
      </c>
    </row>
    <row r="52" spans="1:25" ht="15" customHeight="1" x14ac:dyDescent="0.25">
      <c r="A52" s="8" t="s">
        <v>76</v>
      </c>
      <c r="B52" s="8" t="s">
        <v>153</v>
      </c>
      <c r="C52" s="28">
        <v>-5077.38</v>
      </c>
      <c r="D52" s="28">
        <v>0</v>
      </c>
      <c r="E52" s="28">
        <v>-4700.8500000000004</v>
      </c>
      <c r="F52" s="28">
        <v>0</v>
      </c>
      <c r="G52" s="28">
        <v>0</v>
      </c>
      <c r="H52" s="28">
        <v>2143.6799999999998</v>
      </c>
      <c r="I52" s="28">
        <v>0</v>
      </c>
      <c r="J52" s="28">
        <v>0</v>
      </c>
      <c r="K52" s="28">
        <v>8442.2799999999988</v>
      </c>
      <c r="L52" s="28">
        <v>0</v>
      </c>
      <c r="M52" s="28">
        <v>20445.039999999997</v>
      </c>
      <c r="N52" s="28">
        <v>3572.7999999999997</v>
      </c>
      <c r="O52" s="28">
        <v>11918.06</v>
      </c>
      <c r="P52" s="28">
        <v>0</v>
      </c>
      <c r="Q52" s="28">
        <v>6785.24</v>
      </c>
      <c r="R52" s="28">
        <v>4755.5200000000004</v>
      </c>
      <c r="S52" s="28">
        <v>0</v>
      </c>
      <c r="T52" s="28">
        <v>0</v>
      </c>
      <c r="U52" s="28">
        <v>-97.79000000000002</v>
      </c>
      <c r="V52" s="28">
        <v>0</v>
      </c>
      <c r="W52" s="28">
        <v>0</v>
      </c>
      <c r="X52" s="28">
        <v>0</v>
      </c>
      <c r="Y52" s="28">
        <v>16077.6</v>
      </c>
    </row>
    <row r="53" spans="1:25" ht="15" customHeight="1" x14ac:dyDescent="0.25">
      <c r="A53" s="8" t="s">
        <v>77</v>
      </c>
      <c r="B53" s="8" t="s">
        <v>153</v>
      </c>
      <c r="C53" s="28">
        <v>133377.39999999994</v>
      </c>
      <c r="D53" s="28">
        <v>0</v>
      </c>
      <c r="E53" s="28">
        <v>86439.119999999981</v>
      </c>
      <c r="F53" s="28">
        <v>0</v>
      </c>
      <c r="G53" s="28">
        <v>0</v>
      </c>
      <c r="H53" s="28">
        <v>415069.51000000013</v>
      </c>
      <c r="I53" s="28">
        <v>55863.5</v>
      </c>
      <c r="J53" s="28">
        <v>17740.8</v>
      </c>
      <c r="K53" s="28">
        <v>799134.6399999999</v>
      </c>
      <c r="L53" s="28">
        <v>0</v>
      </c>
      <c r="M53" s="28">
        <v>1037309.0300000006</v>
      </c>
      <c r="N53" s="28">
        <v>75709.48000000004</v>
      </c>
      <c r="O53" s="28">
        <v>312513.12000000011</v>
      </c>
      <c r="P53" s="28">
        <v>0</v>
      </c>
      <c r="Q53" s="28">
        <v>5581.7300000000005</v>
      </c>
      <c r="R53" s="28">
        <v>237938.7999999999</v>
      </c>
      <c r="S53" s="28">
        <v>79613.999999999971</v>
      </c>
      <c r="T53" s="28">
        <v>8870.4</v>
      </c>
      <c r="U53" s="28">
        <v>286186.67000000022</v>
      </c>
      <c r="V53" s="28">
        <v>274132.32</v>
      </c>
      <c r="W53" s="28">
        <v>86685.059999999983</v>
      </c>
      <c r="X53" s="28">
        <v>8147.369999999999</v>
      </c>
      <c r="Y53" s="28">
        <v>700338.31999999948</v>
      </c>
    </row>
    <row r="54" spans="1:25" ht="15" customHeight="1" x14ac:dyDescent="0.25">
      <c r="A54" s="8" t="s">
        <v>78</v>
      </c>
      <c r="B54" s="8" t="s">
        <v>153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16632.769999999997</v>
      </c>
      <c r="I54" s="28">
        <v>0</v>
      </c>
      <c r="J54" s="28">
        <v>0</v>
      </c>
      <c r="K54" s="28">
        <v>-3737.0399999999972</v>
      </c>
      <c r="L54" s="28">
        <v>0</v>
      </c>
      <c r="M54" s="28">
        <v>77183.440000000017</v>
      </c>
      <c r="N54" s="28">
        <v>1034.8799999999999</v>
      </c>
      <c r="O54" s="28">
        <v>0</v>
      </c>
      <c r="P54" s="28">
        <v>0</v>
      </c>
      <c r="Q54" s="28">
        <v>6007.54</v>
      </c>
      <c r="R54" s="28">
        <v>7213.3599999999979</v>
      </c>
      <c r="S54" s="28">
        <v>702.24</v>
      </c>
      <c r="T54" s="28">
        <v>0</v>
      </c>
      <c r="U54" s="28">
        <v>0</v>
      </c>
      <c r="V54" s="28">
        <v>702.24</v>
      </c>
      <c r="W54" s="28">
        <v>0</v>
      </c>
      <c r="X54" s="28">
        <v>-1307.06</v>
      </c>
      <c r="Y54" s="28">
        <v>0</v>
      </c>
    </row>
    <row r="55" spans="1:25" ht="15" customHeight="1" x14ac:dyDescent="0.25">
      <c r="A55" s="8" t="s">
        <v>79</v>
      </c>
      <c r="B55" s="8" t="s">
        <v>153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-1462.23</v>
      </c>
      <c r="I55" s="28">
        <v>0</v>
      </c>
      <c r="J55" s="28">
        <v>0</v>
      </c>
      <c r="K55" s="28">
        <v>-800.8</v>
      </c>
      <c r="L55" s="28">
        <v>0</v>
      </c>
      <c r="M55" s="28">
        <v>2499.42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</row>
    <row r="56" spans="1:25" ht="15" customHeight="1" x14ac:dyDescent="0.25">
      <c r="A56" s="8" t="s">
        <v>80</v>
      </c>
      <c r="B56" s="8" t="s">
        <v>153</v>
      </c>
      <c r="C56" s="28">
        <v>0</v>
      </c>
      <c r="D56" s="28">
        <v>0</v>
      </c>
      <c r="E56" s="28">
        <v>0</v>
      </c>
      <c r="F56" s="28">
        <v>0</v>
      </c>
      <c r="G56" s="28">
        <v>0</v>
      </c>
      <c r="H56" s="28">
        <v>681.45</v>
      </c>
      <c r="I56" s="28">
        <v>0</v>
      </c>
      <c r="J56" s="28">
        <v>0</v>
      </c>
      <c r="K56" s="28">
        <v>2094.3999999999996</v>
      </c>
      <c r="L56" s="28">
        <v>0</v>
      </c>
      <c r="M56" s="28">
        <v>39841.760000000002</v>
      </c>
      <c r="N56" s="28">
        <v>0</v>
      </c>
      <c r="O56" s="28">
        <v>0</v>
      </c>
      <c r="P56" s="28">
        <v>0</v>
      </c>
      <c r="Q56" s="28">
        <v>0</v>
      </c>
      <c r="R56" s="28">
        <v>5525.52</v>
      </c>
      <c r="S56" s="28">
        <v>0</v>
      </c>
      <c r="T56" s="28">
        <v>0</v>
      </c>
      <c r="U56" s="28">
        <v>18295.2</v>
      </c>
      <c r="V56" s="28">
        <v>17661</v>
      </c>
      <c r="W56" s="28">
        <v>0</v>
      </c>
      <c r="X56" s="28">
        <v>0</v>
      </c>
      <c r="Y56" s="28">
        <v>831.6</v>
      </c>
    </row>
    <row r="57" spans="1:25" ht="15" customHeight="1" x14ac:dyDescent="0.25">
      <c r="A57" s="8" t="s">
        <v>81</v>
      </c>
      <c r="B57" s="8" t="s">
        <v>153</v>
      </c>
      <c r="C57" s="28">
        <v>0</v>
      </c>
      <c r="D57" s="28">
        <v>0</v>
      </c>
      <c r="E57" s="28">
        <v>9609.6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100993.2</v>
      </c>
      <c r="L57" s="28">
        <v>0</v>
      </c>
      <c r="M57" s="28">
        <v>81740.89</v>
      </c>
      <c r="N57" s="28">
        <v>0</v>
      </c>
      <c r="O57" s="28">
        <v>0</v>
      </c>
      <c r="P57" s="28">
        <v>0</v>
      </c>
      <c r="Q57" s="28">
        <v>0</v>
      </c>
      <c r="R57" s="28">
        <v>6689.76</v>
      </c>
      <c r="S57" s="28">
        <v>0</v>
      </c>
      <c r="T57" s="28">
        <v>2083.1999999999998</v>
      </c>
      <c r="U57" s="28">
        <v>9609.6</v>
      </c>
      <c r="V57" s="28">
        <v>363026.16</v>
      </c>
      <c r="W57" s="28">
        <v>0</v>
      </c>
      <c r="X57" s="28">
        <v>0</v>
      </c>
      <c r="Y57" s="28">
        <v>0</v>
      </c>
    </row>
    <row r="58" spans="1:25" ht="15" customHeight="1" x14ac:dyDescent="0.25">
      <c r="A58" s="8" t="s">
        <v>82</v>
      </c>
      <c r="B58" s="8" t="s">
        <v>153</v>
      </c>
      <c r="C58" s="28">
        <v>-105.64</v>
      </c>
      <c r="D58" s="28">
        <v>0</v>
      </c>
      <c r="E58" s="28">
        <v>3870.7900000000004</v>
      </c>
      <c r="F58" s="28">
        <v>0</v>
      </c>
      <c r="G58" s="28">
        <v>0</v>
      </c>
      <c r="H58" s="28">
        <v>4938.7800000000007</v>
      </c>
      <c r="I58" s="28">
        <v>0</v>
      </c>
      <c r="J58" s="28">
        <v>0</v>
      </c>
      <c r="K58" s="28">
        <v>14867.93</v>
      </c>
      <c r="L58" s="28">
        <v>0</v>
      </c>
      <c r="M58" s="28">
        <v>67835.460000000021</v>
      </c>
      <c r="N58" s="28">
        <v>4268.88</v>
      </c>
      <c r="O58" s="28">
        <v>3766.0700000000011</v>
      </c>
      <c r="P58" s="28">
        <v>0</v>
      </c>
      <c r="Q58" s="28">
        <v>3363.3599999999997</v>
      </c>
      <c r="R58" s="28">
        <v>-60.06</v>
      </c>
      <c r="S58" s="28">
        <v>-50.82</v>
      </c>
      <c r="T58" s="28">
        <v>0</v>
      </c>
      <c r="U58" s="28">
        <v>2065.1400000000003</v>
      </c>
      <c r="V58" s="28">
        <v>0</v>
      </c>
      <c r="W58" s="28">
        <v>0</v>
      </c>
      <c r="X58" s="28">
        <v>0</v>
      </c>
      <c r="Y58" s="28">
        <v>49641.900000000009</v>
      </c>
    </row>
    <row r="59" spans="1:25" ht="15" customHeight="1" x14ac:dyDescent="0.25">
      <c r="A59" s="8" t="s">
        <v>83</v>
      </c>
      <c r="B59" s="8" t="s">
        <v>153</v>
      </c>
      <c r="C59" s="28">
        <v>10232.68</v>
      </c>
      <c r="D59" s="28">
        <v>0</v>
      </c>
      <c r="E59" s="28">
        <v>15287.89</v>
      </c>
      <c r="F59" s="28">
        <v>0</v>
      </c>
      <c r="G59" s="28">
        <v>0</v>
      </c>
      <c r="H59" s="28">
        <v>15708</v>
      </c>
      <c r="I59" s="28">
        <v>-4268.88</v>
      </c>
      <c r="J59" s="28">
        <v>0</v>
      </c>
      <c r="K59" s="28">
        <v>5058.28</v>
      </c>
      <c r="L59" s="28">
        <v>0</v>
      </c>
      <c r="M59" s="28">
        <v>78262.789999999994</v>
      </c>
      <c r="N59" s="28">
        <v>16553.46</v>
      </c>
      <c r="O59" s="28">
        <v>7088.0000000000009</v>
      </c>
      <c r="P59" s="28">
        <v>0</v>
      </c>
      <c r="Q59" s="28">
        <v>5202.12</v>
      </c>
      <c r="R59" s="28">
        <v>16384.060000000001</v>
      </c>
      <c r="S59" s="28">
        <v>1177.48</v>
      </c>
      <c r="T59" s="28">
        <v>1293.5999999999999</v>
      </c>
      <c r="U59" s="28">
        <v>10607.519999999999</v>
      </c>
      <c r="V59" s="28">
        <v>0</v>
      </c>
      <c r="W59" s="28">
        <v>1651.8</v>
      </c>
      <c r="X59" s="28">
        <v>0</v>
      </c>
      <c r="Y59" s="28">
        <v>55172.809999999983</v>
      </c>
    </row>
    <row r="60" spans="1:25" ht="15" customHeight="1" x14ac:dyDescent="0.25">
      <c r="A60" s="8" t="s">
        <v>84</v>
      </c>
      <c r="B60" s="8" t="s">
        <v>153</v>
      </c>
      <c r="C60" s="28">
        <v>10429.170000000002</v>
      </c>
      <c r="D60" s="28">
        <v>0</v>
      </c>
      <c r="E60" s="28">
        <v>8222.4500000000007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6193.1100000000006</v>
      </c>
      <c r="L60" s="28">
        <v>0</v>
      </c>
      <c r="M60" s="28">
        <v>47674.67</v>
      </c>
      <c r="N60" s="28">
        <v>19792.080000000002</v>
      </c>
      <c r="O60" s="28">
        <v>4082.1200000000003</v>
      </c>
      <c r="P60" s="28">
        <v>0</v>
      </c>
      <c r="Q60" s="28">
        <v>2474.0099999999998</v>
      </c>
      <c r="R60" s="28">
        <v>7422.0300000000007</v>
      </c>
      <c r="S60" s="28">
        <v>0</v>
      </c>
      <c r="T60" s="28">
        <v>0</v>
      </c>
      <c r="U60" s="28">
        <v>14844.060000000001</v>
      </c>
      <c r="V60" s="28">
        <v>5772.69</v>
      </c>
      <c r="W60" s="28">
        <v>0</v>
      </c>
      <c r="X60" s="28">
        <v>0</v>
      </c>
      <c r="Y60" s="28">
        <v>9071.3699999999899</v>
      </c>
    </row>
    <row r="61" spans="1:25" ht="15" customHeight="1" x14ac:dyDescent="0.25">
      <c r="A61" s="8" t="s">
        <v>85</v>
      </c>
      <c r="B61" s="8" t="s">
        <v>153</v>
      </c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4656.96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</row>
    <row r="62" spans="1:25" ht="15" customHeight="1" x14ac:dyDescent="0.25">
      <c r="A62" s="8" t="s">
        <v>86</v>
      </c>
      <c r="B62" s="8" t="s">
        <v>153</v>
      </c>
      <c r="C62" s="28">
        <v>0</v>
      </c>
      <c r="D62" s="28">
        <v>0</v>
      </c>
      <c r="E62" s="28">
        <v>0</v>
      </c>
      <c r="F62" s="28">
        <v>0</v>
      </c>
      <c r="G62" s="28">
        <v>0</v>
      </c>
      <c r="H62" s="28">
        <v>4527.6000000000004</v>
      </c>
      <c r="I62" s="28">
        <v>0</v>
      </c>
      <c r="J62" s="28">
        <v>0</v>
      </c>
      <c r="K62" s="28">
        <v>0</v>
      </c>
      <c r="L62" s="28">
        <v>0</v>
      </c>
      <c r="M62" s="28">
        <v>2263.8000000000002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</row>
    <row r="63" spans="1:25" ht="15" customHeight="1" x14ac:dyDescent="0.25">
      <c r="A63" s="8" t="s">
        <v>87</v>
      </c>
      <c r="B63" s="8" t="s">
        <v>153</v>
      </c>
      <c r="C63" s="28">
        <v>7945.9400000000014</v>
      </c>
      <c r="D63" s="28">
        <v>0</v>
      </c>
      <c r="E63" s="28">
        <v>0</v>
      </c>
      <c r="F63" s="28">
        <v>0</v>
      </c>
      <c r="G63" s="28">
        <v>0</v>
      </c>
      <c r="H63" s="28">
        <v>15965.420000000002</v>
      </c>
      <c r="I63" s="28">
        <v>0</v>
      </c>
      <c r="J63" s="28">
        <v>0</v>
      </c>
      <c r="K63" s="28">
        <v>2490.17</v>
      </c>
      <c r="L63" s="28">
        <v>0</v>
      </c>
      <c r="M63" s="28">
        <v>1731.1299999999997</v>
      </c>
      <c r="N63" s="28">
        <v>-63.14</v>
      </c>
      <c r="O63" s="28">
        <v>0</v>
      </c>
      <c r="P63" s="28">
        <v>0</v>
      </c>
      <c r="Q63" s="28">
        <v>0</v>
      </c>
      <c r="R63" s="28">
        <v>0</v>
      </c>
      <c r="S63" s="28">
        <v>7329.01</v>
      </c>
      <c r="T63" s="28">
        <v>0</v>
      </c>
      <c r="U63" s="28">
        <v>0</v>
      </c>
      <c r="V63" s="28">
        <v>1207.0500000000002</v>
      </c>
      <c r="W63" s="28">
        <v>0</v>
      </c>
      <c r="X63" s="28">
        <v>0</v>
      </c>
      <c r="Y63" s="28">
        <v>-227.92</v>
      </c>
    </row>
    <row r="64" spans="1:25" ht="15" customHeight="1" x14ac:dyDescent="0.25">
      <c r="A64" s="8" t="s">
        <v>88</v>
      </c>
      <c r="B64" s="8" t="s">
        <v>153</v>
      </c>
      <c r="C64" s="28">
        <v>91630.770000000033</v>
      </c>
      <c r="D64" s="28">
        <v>0</v>
      </c>
      <c r="E64" s="28">
        <v>67743.830000000016</v>
      </c>
      <c r="F64" s="28">
        <v>0</v>
      </c>
      <c r="G64" s="28">
        <v>0</v>
      </c>
      <c r="H64" s="28">
        <v>258938.68000000028</v>
      </c>
      <c r="I64" s="28">
        <v>0</v>
      </c>
      <c r="J64" s="28">
        <v>0</v>
      </c>
      <c r="K64" s="28">
        <v>229250.18000000014</v>
      </c>
      <c r="L64" s="28">
        <v>16067.979999999998</v>
      </c>
      <c r="M64" s="28">
        <v>524412.58000000077</v>
      </c>
      <c r="N64" s="28">
        <v>5131.2800000000007</v>
      </c>
      <c r="O64" s="28">
        <v>58124.990000000005</v>
      </c>
      <c r="P64" s="28">
        <v>0</v>
      </c>
      <c r="Q64" s="28">
        <v>24608.430000000018</v>
      </c>
      <c r="R64" s="28">
        <v>115891.16000000006</v>
      </c>
      <c r="S64" s="28">
        <v>80469.620000000024</v>
      </c>
      <c r="T64" s="28">
        <v>17702.300000000003</v>
      </c>
      <c r="U64" s="28">
        <v>75269.810000000041</v>
      </c>
      <c r="V64" s="28">
        <v>368220.16000000027</v>
      </c>
      <c r="W64" s="28">
        <v>42245.280000000035</v>
      </c>
      <c r="X64" s="28">
        <v>5902.0500000000011</v>
      </c>
      <c r="Y64" s="28">
        <v>64323.490000000056</v>
      </c>
    </row>
    <row r="65" spans="1:25" ht="15" customHeight="1" x14ac:dyDescent="0.25">
      <c r="A65" s="8" t="s">
        <v>89</v>
      </c>
      <c r="B65" s="8" t="s">
        <v>153</v>
      </c>
      <c r="C65" s="28">
        <v>0</v>
      </c>
      <c r="D65" s="28">
        <v>0</v>
      </c>
      <c r="E65" s="28">
        <v>-1199.6599999999999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631.4</v>
      </c>
      <c r="L65" s="28">
        <v>0</v>
      </c>
      <c r="M65" s="28">
        <v>2193.73</v>
      </c>
      <c r="N65" s="28">
        <v>0</v>
      </c>
      <c r="O65" s="28">
        <v>0</v>
      </c>
      <c r="P65" s="28">
        <v>0</v>
      </c>
      <c r="Q65" s="28">
        <v>0</v>
      </c>
      <c r="R65" s="28">
        <v>2020.48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</row>
    <row r="66" spans="1:25" ht="15" customHeight="1" x14ac:dyDescent="0.25">
      <c r="A66" s="8" t="s">
        <v>90</v>
      </c>
      <c r="B66" s="8" t="s">
        <v>153</v>
      </c>
      <c r="C66" s="28">
        <v>0</v>
      </c>
      <c r="D66" s="28">
        <v>0</v>
      </c>
      <c r="E66" s="28">
        <v>6375.5999999999995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830.06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5097.3999999999996</v>
      </c>
      <c r="V66" s="28">
        <v>0</v>
      </c>
      <c r="W66" s="28">
        <v>0</v>
      </c>
      <c r="X66" s="28">
        <v>0</v>
      </c>
      <c r="Y66" s="28">
        <v>4620</v>
      </c>
    </row>
    <row r="67" spans="1:25" ht="15" customHeight="1" x14ac:dyDescent="0.25">
      <c r="A67" s="8" t="s">
        <v>91</v>
      </c>
      <c r="B67" s="8" t="s">
        <v>153</v>
      </c>
      <c r="C67" s="28">
        <v>6766.7600000000011</v>
      </c>
      <c r="D67" s="28">
        <v>0</v>
      </c>
      <c r="E67" s="28">
        <v>5172.8600000000006</v>
      </c>
      <c r="F67" s="28">
        <v>0</v>
      </c>
      <c r="G67" s="28">
        <v>0</v>
      </c>
      <c r="H67" s="28">
        <v>4390.46</v>
      </c>
      <c r="I67" s="28">
        <v>0</v>
      </c>
      <c r="J67" s="28">
        <v>10912.44</v>
      </c>
      <c r="K67" s="28">
        <v>215293.93000000011</v>
      </c>
      <c r="L67" s="28">
        <v>0</v>
      </c>
      <c r="M67" s="28">
        <v>40692.420000000006</v>
      </c>
      <c r="N67" s="28">
        <v>9535.68</v>
      </c>
      <c r="O67" s="28">
        <v>21437.8</v>
      </c>
      <c r="P67" s="28">
        <v>0</v>
      </c>
      <c r="Q67" s="28">
        <v>0</v>
      </c>
      <c r="R67" s="28">
        <v>9719.7100000000028</v>
      </c>
      <c r="S67" s="28">
        <v>4433.97</v>
      </c>
      <c r="T67" s="28">
        <v>0</v>
      </c>
      <c r="U67" s="28">
        <v>7538.3</v>
      </c>
      <c r="V67" s="28">
        <v>4626.16</v>
      </c>
      <c r="W67" s="28">
        <v>-6497.26</v>
      </c>
      <c r="X67" s="28">
        <v>-270.27</v>
      </c>
      <c r="Y67" s="28">
        <v>38843.420000000006</v>
      </c>
    </row>
    <row r="68" spans="1:25" ht="15" customHeight="1" x14ac:dyDescent="0.25">
      <c r="A68" s="8" t="s">
        <v>92</v>
      </c>
      <c r="B68" s="8" t="s">
        <v>153</v>
      </c>
      <c r="C68" s="28">
        <v>11026.4</v>
      </c>
      <c r="D68" s="28">
        <v>0</v>
      </c>
      <c r="E68" s="28">
        <v>55322.190000000017</v>
      </c>
      <c r="F68" s="28">
        <v>0</v>
      </c>
      <c r="G68" s="28">
        <v>0</v>
      </c>
      <c r="H68" s="28">
        <v>64924.179999999993</v>
      </c>
      <c r="I68" s="28">
        <v>0</v>
      </c>
      <c r="J68" s="28">
        <v>0</v>
      </c>
      <c r="K68" s="28">
        <v>84394.38999999997</v>
      </c>
      <c r="L68" s="28">
        <v>569.79999999999995</v>
      </c>
      <c r="M68" s="28">
        <v>89776.07</v>
      </c>
      <c r="N68" s="28">
        <v>-1.8500000000000227</v>
      </c>
      <c r="O68" s="28">
        <v>13584.960000000001</v>
      </c>
      <c r="P68" s="28">
        <v>0</v>
      </c>
      <c r="Q68" s="28">
        <v>2279.1999999999998</v>
      </c>
      <c r="R68" s="28">
        <v>23414.01</v>
      </c>
      <c r="S68" s="28">
        <v>8660.9600000000009</v>
      </c>
      <c r="T68" s="28">
        <v>0</v>
      </c>
      <c r="U68" s="28">
        <v>22240.139999999992</v>
      </c>
      <c r="V68" s="28">
        <v>28574.539999999994</v>
      </c>
      <c r="W68" s="28">
        <v>284.89999999999998</v>
      </c>
      <c r="X68" s="28">
        <v>-570.11</v>
      </c>
      <c r="Y68" s="28">
        <v>61827.150000000009</v>
      </c>
    </row>
    <row r="69" spans="1:25" ht="15" customHeight="1" x14ac:dyDescent="0.25">
      <c r="A69" s="8" t="s">
        <v>93</v>
      </c>
      <c r="B69" s="8" t="s">
        <v>153</v>
      </c>
      <c r="C69" s="28">
        <v>90572.790000000023</v>
      </c>
      <c r="D69" s="28">
        <v>0</v>
      </c>
      <c r="E69" s="28">
        <v>27130.18</v>
      </c>
      <c r="F69" s="28">
        <v>0</v>
      </c>
      <c r="G69" s="28">
        <v>0</v>
      </c>
      <c r="H69" s="28">
        <v>117167.05000000006</v>
      </c>
      <c r="I69" s="28">
        <v>0</v>
      </c>
      <c r="J69" s="28">
        <v>0</v>
      </c>
      <c r="K69" s="28">
        <v>402877.23999999982</v>
      </c>
      <c r="L69" s="28">
        <v>0</v>
      </c>
      <c r="M69" s="28">
        <v>432754.0099999996</v>
      </c>
      <c r="N69" s="28">
        <v>37505.160000000003</v>
      </c>
      <c r="O69" s="28">
        <v>1730.19</v>
      </c>
      <c r="P69" s="28">
        <v>0</v>
      </c>
      <c r="Q69" s="28">
        <v>3799.1800000000007</v>
      </c>
      <c r="R69" s="28">
        <v>133886.68</v>
      </c>
      <c r="S69" s="28">
        <v>5321.4700000000021</v>
      </c>
      <c r="T69" s="28">
        <v>913.22</v>
      </c>
      <c r="U69" s="28">
        <v>45815.770000000011</v>
      </c>
      <c r="V69" s="28">
        <v>25523.960000000006</v>
      </c>
      <c r="W69" s="28">
        <v>5576.34</v>
      </c>
      <c r="X69" s="28">
        <v>0</v>
      </c>
      <c r="Y69" s="28">
        <v>170804.47999999998</v>
      </c>
    </row>
    <row r="70" spans="1:25" ht="15" customHeight="1" x14ac:dyDescent="0.25">
      <c r="A70" s="8" t="s">
        <v>170</v>
      </c>
      <c r="B70" s="8" t="s">
        <v>153</v>
      </c>
      <c r="C70" s="28">
        <v>0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2448.6</v>
      </c>
      <c r="L70" s="28">
        <v>0</v>
      </c>
      <c r="M70" s="28">
        <v>979.44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</row>
    <row r="71" spans="1:25" ht="15" customHeight="1" x14ac:dyDescent="0.25">
      <c r="A71" s="8" t="s">
        <v>94</v>
      </c>
      <c r="B71" s="8" t="s">
        <v>153</v>
      </c>
      <c r="C71" s="28">
        <v>873.18000000000006</v>
      </c>
      <c r="D71" s="28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85400.7</v>
      </c>
      <c r="L71" s="28">
        <v>0</v>
      </c>
      <c r="M71" s="28">
        <v>14488.320000000003</v>
      </c>
      <c r="N71" s="28">
        <v>10478.16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39604.950000000012</v>
      </c>
      <c r="W71" s="28">
        <v>0</v>
      </c>
      <c r="X71" s="28">
        <v>0</v>
      </c>
      <c r="Y71" s="28">
        <v>0</v>
      </c>
    </row>
    <row r="72" spans="1:25" ht="15" customHeight="1" x14ac:dyDescent="0.25">
      <c r="A72" s="8" t="s">
        <v>95</v>
      </c>
      <c r="B72" s="8" t="s">
        <v>153</v>
      </c>
      <c r="C72" s="28">
        <v>0</v>
      </c>
      <c r="D72" s="28">
        <v>0</v>
      </c>
      <c r="E72" s="28">
        <v>-14382.83</v>
      </c>
      <c r="F72" s="28">
        <v>0</v>
      </c>
      <c r="G72" s="28">
        <v>0</v>
      </c>
      <c r="H72" s="28">
        <v>-1034.8800000000001</v>
      </c>
      <c r="I72" s="28">
        <v>0</v>
      </c>
      <c r="J72" s="28">
        <v>0</v>
      </c>
      <c r="K72" s="28">
        <v>-9715.8599999999988</v>
      </c>
      <c r="L72" s="28">
        <v>0</v>
      </c>
      <c r="M72" s="28">
        <v>-31741.709999999995</v>
      </c>
      <c r="N72" s="28">
        <v>0</v>
      </c>
      <c r="O72" s="28">
        <v>-1563.1000000000001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</row>
    <row r="73" spans="1:25" ht="15" customHeight="1" x14ac:dyDescent="0.25">
      <c r="A73" s="8" t="s">
        <v>96</v>
      </c>
      <c r="B73" s="8" t="s">
        <v>153</v>
      </c>
      <c r="C73" s="28">
        <v>0</v>
      </c>
      <c r="D73" s="28">
        <v>0</v>
      </c>
      <c r="E73" s="28">
        <v>0</v>
      </c>
      <c r="F73" s="28">
        <v>0</v>
      </c>
      <c r="G73" s="28">
        <v>0</v>
      </c>
      <c r="H73" s="28">
        <v>-1399.86</v>
      </c>
      <c r="I73" s="28">
        <v>0</v>
      </c>
      <c r="J73" s="28">
        <v>0</v>
      </c>
      <c r="K73" s="28">
        <v>-9363.2000000000007</v>
      </c>
      <c r="L73" s="28">
        <v>0</v>
      </c>
      <c r="M73" s="28">
        <v>11573.1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</row>
    <row r="74" spans="1:25" ht="15" customHeight="1" x14ac:dyDescent="0.25">
      <c r="A74" s="8" t="s">
        <v>97</v>
      </c>
      <c r="B74" s="8" t="s">
        <v>153</v>
      </c>
      <c r="C74" s="28">
        <v>519.75</v>
      </c>
      <c r="D74" s="28">
        <v>0</v>
      </c>
      <c r="E74" s="28">
        <v>50965.529999999977</v>
      </c>
      <c r="F74" s="28">
        <v>0</v>
      </c>
      <c r="G74" s="28">
        <v>0</v>
      </c>
      <c r="H74" s="28">
        <v>60424.979999999996</v>
      </c>
      <c r="I74" s="28">
        <v>0</v>
      </c>
      <c r="J74" s="28">
        <v>0</v>
      </c>
      <c r="K74" s="28">
        <v>138478.44999999995</v>
      </c>
      <c r="L74" s="28">
        <v>0</v>
      </c>
      <c r="M74" s="28">
        <v>18055.73</v>
      </c>
      <c r="N74" s="28">
        <v>0</v>
      </c>
      <c r="O74" s="28">
        <v>-13081.339999999998</v>
      </c>
      <c r="P74" s="28">
        <v>0</v>
      </c>
      <c r="Q74" s="28">
        <v>8639.4000000000015</v>
      </c>
      <c r="R74" s="28">
        <v>23292.500000000004</v>
      </c>
      <c r="S74" s="28">
        <v>-2070.5300000000002</v>
      </c>
      <c r="T74" s="28">
        <v>0</v>
      </c>
      <c r="U74" s="28">
        <v>6672.82</v>
      </c>
      <c r="V74" s="28">
        <v>0</v>
      </c>
      <c r="W74" s="28">
        <v>0</v>
      </c>
      <c r="X74" s="28">
        <v>-457.38</v>
      </c>
      <c r="Y74" s="28">
        <v>46643.519999999997</v>
      </c>
    </row>
    <row r="75" spans="1:25" ht="15" customHeight="1" x14ac:dyDescent="0.25">
      <c r="A75" s="8" t="s">
        <v>98</v>
      </c>
      <c r="B75" s="8" t="s">
        <v>153</v>
      </c>
      <c r="C75" s="28">
        <v>1838.76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45968.999999999993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1838.76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</row>
    <row r="76" spans="1:25" ht="15" customHeight="1" x14ac:dyDescent="0.25">
      <c r="A76" s="8" t="s">
        <v>99</v>
      </c>
      <c r="B76" s="8" t="s">
        <v>153</v>
      </c>
      <c r="C76" s="28">
        <v>0</v>
      </c>
      <c r="D76" s="28">
        <v>0</v>
      </c>
      <c r="E76" s="28">
        <v>-145.53</v>
      </c>
      <c r="F76" s="28">
        <v>0</v>
      </c>
      <c r="G76" s="28">
        <v>0</v>
      </c>
      <c r="H76" s="28">
        <v>5384.6100000000006</v>
      </c>
      <c r="I76" s="28">
        <v>0</v>
      </c>
      <c r="J76" s="28">
        <v>0</v>
      </c>
      <c r="K76" s="28">
        <v>-16716.850000000002</v>
      </c>
      <c r="L76" s="28">
        <v>0</v>
      </c>
      <c r="M76" s="28">
        <v>12881.49</v>
      </c>
      <c r="N76" s="28">
        <v>0</v>
      </c>
      <c r="O76" s="28">
        <v>0</v>
      </c>
      <c r="P76" s="28">
        <v>0</v>
      </c>
      <c r="Q76" s="28">
        <v>2860.55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</row>
    <row r="77" spans="1:25" ht="15" customHeight="1" x14ac:dyDescent="0.25">
      <c r="A77" s="8" t="s">
        <v>100</v>
      </c>
      <c r="B77" s="8" t="s">
        <v>153</v>
      </c>
      <c r="C77" s="28">
        <v>0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2.2737367544323206E-13</v>
      </c>
    </row>
    <row r="78" spans="1:25" ht="15" customHeight="1" x14ac:dyDescent="0.25">
      <c r="A78" s="8" t="s">
        <v>101</v>
      </c>
      <c r="B78" s="8" t="s">
        <v>153</v>
      </c>
      <c r="C78" s="28">
        <v>175037.17</v>
      </c>
      <c r="D78" s="28">
        <v>56762.860000000008</v>
      </c>
      <c r="E78" s="28">
        <v>252874.52</v>
      </c>
      <c r="F78" s="28">
        <v>0</v>
      </c>
      <c r="G78" s="28">
        <v>0</v>
      </c>
      <c r="H78" s="28">
        <v>377445.46999999933</v>
      </c>
      <c r="I78" s="28">
        <v>0</v>
      </c>
      <c r="J78" s="28">
        <v>0</v>
      </c>
      <c r="K78" s="28">
        <v>752899.0700000003</v>
      </c>
      <c r="L78" s="28">
        <v>0</v>
      </c>
      <c r="M78" s="28">
        <v>705077.92999999935</v>
      </c>
      <c r="N78" s="28">
        <v>198760.86999999991</v>
      </c>
      <c r="O78" s="28">
        <v>70746.06</v>
      </c>
      <c r="P78" s="28">
        <v>0</v>
      </c>
      <c r="Q78" s="28">
        <v>46398.66000000004</v>
      </c>
      <c r="R78" s="28">
        <v>326801.98000000016</v>
      </c>
      <c r="S78" s="28">
        <v>83705.870000000039</v>
      </c>
      <c r="T78" s="28">
        <v>37102.449999999983</v>
      </c>
      <c r="U78" s="28">
        <v>285430.14999999967</v>
      </c>
      <c r="V78" s="28">
        <v>393774.54000000015</v>
      </c>
      <c r="W78" s="28">
        <v>57984.080000000075</v>
      </c>
      <c r="X78" s="28">
        <v>5555.5500000000011</v>
      </c>
      <c r="Y78" s="28">
        <v>320508.64999999997</v>
      </c>
    </row>
    <row r="79" spans="1:25" ht="15" customHeight="1" x14ac:dyDescent="0.25">
      <c r="A79" s="8" t="s">
        <v>102</v>
      </c>
      <c r="B79" s="8" t="s">
        <v>153</v>
      </c>
      <c r="C79" s="28">
        <v>0</v>
      </c>
      <c r="D79" s="28">
        <v>0</v>
      </c>
      <c r="E79" s="28">
        <v>0</v>
      </c>
      <c r="F79" s="28">
        <v>0</v>
      </c>
      <c r="G79" s="28">
        <v>0</v>
      </c>
      <c r="H79" s="28">
        <v>55849.639999999992</v>
      </c>
      <c r="I79" s="28">
        <v>80856.929999999993</v>
      </c>
      <c r="J79" s="28">
        <v>0</v>
      </c>
      <c r="K79" s="28">
        <v>248139.43000000011</v>
      </c>
      <c r="L79" s="28">
        <v>0</v>
      </c>
      <c r="M79" s="28">
        <v>73131.520000000033</v>
      </c>
      <c r="N79" s="28">
        <v>55297.55000000001</v>
      </c>
      <c r="O79" s="28">
        <v>0</v>
      </c>
      <c r="P79" s="28">
        <v>0</v>
      </c>
      <c r="Q79" s="28">
        <v>4102.5600000000004</v>
      </c>
      <c r="R79" s="28">
        <v>34782.44</v>
      </c>
      <c r="S79" s="28">
        <v>0</v>
      </c>
      <c r="T79" s="28">
        <v>0</v>
      </c>
      <c r="U79" s="28">
        <v>40036.920000000006</v>
      </c>
      <c r="V79" s="28">
        <v>0</v>
      </c>
      <c r="W79" s="28">
        <v>0</v>
      </c>
      <c r="X79" s="28">
        <v>0</v>
      </c>
      <c r="Y79" s="28">
        <v>0</v>
      </c>
    </row>
    <row r="80" spans="1:25" ht="15" customHeight="1" x14ac:dyDescent="0.25">
      <c r="A80" s="8" t="s">
        <v>103</v>
      </c>
      <c r="B80" s="8" t="s">
        <v>153</v>
      </c>
      <c r="C80" s="28">
        <v>61595.37999999999</v>
      </c>
      <c r="D80" s="28">
        <v>0</v>
      </c>
      <c r="E80" s="28">
        <v>51679.320000000007</v>
      </c>
      <c r="F80" s="28">
        <v>0</v>
      </c>
      <c r="G80" s="28">
        <v>0</v>
      </c>
      <c r="H80" s="28">
        <v>133685.86000000004</v>
      </c>
      <c r="I80" s="28">
        <v>6731.34</v>
      </c>
      <c r="J80" s="28">
        <v>10422.719999999998</v>
      </c>
      <c r="K80" s="28">
        <v>395411.94</v>
      </c>
      <c r="L80" s="28">
        <v>0</v>
      </c>
      <c r="M80" s="28">
        <v>488854.52</v>
      </c>
      <c r="N80" s="28">
        <v>57324.959999999999</v>
      </c>
      <c r="O80" s="28">
        <v>112768.04</v>
      </c>
      <c r="P80" s="28">
        <v>0</v>
      </c>
      <c r="Q80" s="28">
        <v>0</v>
      </c>
      <c r="R80" s="28">
        <v>112333.75999999999</v>
      </c>
      <c r="S80" s="28">
        <v>13904.660000000002</v>
      </c>
      <c r="T80" s="28">
        <v>0</v>
      </c>
      <c r="U80" s="28">
        <v>136725.81999999998</v>
      </c>
      <c r="V80" s="28">
        <v>224884.66000000003</v>
      </c>
      <c r="W80" s="28">
        <v>12159.839999999997</v>
      </c>
      <c r="X80" s="28">
        <v>0</v>
      </c>
      <c r="Y80" s="28">
        <v>169803.48</v>
      </c>
    </row>
    <row r="81" spans="1:25" ht="15" customHeight="1" x14ac:dyDescent="0.25">
      <c r="A81" s="8" t="s">
        <v>104</v>
      </c>
      <c r="B81" s="8" t="s">
        <v>153</v>
      </c>
      <c r="C81" s="28">
        <v>852.39</v>
      </c>
      <c r="D81" s="28">
        <v>0</v>
      </c>
      <c r="E81" s="28">
        <v>0</v>
      </c>
      <c r="F81" s="28">
        <v>0</v>
      </c>
      <c r="G81" s="28">
        <v>0</v>
      </c>
      <c r="H81" s="28">
        <v>278.74</v>
      </c>
      <c r="I81" s="28">
        <v>0</v>
      </c>
      <c r="J81" s="28">
        <v>0</v>
      </c>
      <c r="K81" s="28">
        <v>64433.600000000013</v>
      </c>
      <c r="L81" s="28">
        <v>0</v>
      </c>
      <c r="M81" s="28">
        <v>-559.0200000000001</v>
      </c>
      <c r="N81" s="28">
        <v>0</v>
      </c>
      <c r="O81" s="28">
        <v>2362.36</v>
      </c>
      <c r="P81" s="28">
        <v>0</v>
      </c>
      <c r="Q81" s="28">
        <v>0</v>
      </c>
      <c r="R81" s="28">
        <v>9395.5399999999991</v>
      </c>
      <c r="S81" s="28">
        <v>-32.339999999999975</v>
      </c>
      <c r="T81" s="28">
        <v>0</v>
      </c>
      <c r="U81" s="28">
        <v>0</v>
      </c>
      <c r="V81" s="28">
        <v>0</v>
      </c>
      <c r="W81" s="28">
        <v>0</v>
      </c>
      <c r="X81" s="28">
        <v>-100.1</v>
      </c>
      <c r="Y81" s="28">
        <v>4974.2000000000007</v>
      </c>
    </row>
    <row r="82" spans="1:25" ht="15" customHeight="1" x14ac:dyDescent="0.25">
      <c r="A82" s="8" t="s">
        <v>105</v>
      </c>
      <c r="B82" s="8" t="s">
        <v>153</v>
      </c>
      <c r="C82" s="28">
        <v>5468.5399999999991</v>
      </c>
      <c r="D82" s="28">
        <v>0</v>
      </c>
      <c r="E82" s="28">
        <v>13693.68</v>
      </c>
      <c r="F82" s="28">
        <v>0</v>
      </c>
      <c r="G82" s="28">
        <v>0</v>
      </c>
      <c r="H82" s="28">
        <v>20240.22</v>
      </c>
      <c r="I82" s="28">
        <v>0</v>
      </c>
      <c r="J82" s="28">
        <v>1640.1</v>
      </c>
      <c r="K82" s="28">
        <v>108948.83999999998</v>
      </c>
      <c r="L82" s="28">
        <v>0</v>
      </c>
      <c r="M82" s="28">
        <v>60230.939999999988</v>
      </c>
      <c r="N82" s="28">
        <v>5460.84</v>
      </c>
      <c r="O82" s="28">
        <v>45202.080000000002</v>
      </c>
      <c r="P82" s="28">
        <v>0</v>
      </c>
      <c r="Q82" s="28">
        <v>1194.27</v>
      </c>
      <c r="R82" s="28">
        <v>15543.989999999998</v>
      </c>
      <c r="S82" s="28">
        <v>9554.16</v>
      </c>
      <c r="T82" s="28">
        <v>0</v>
      </c>
      <c r="U82" s="28">
        <v>2978.3599999999997</v>
      </c>
      <c r="V82" s="28">
        <v>6588.119999999999</v>
      </c>
      <c r="W82" s="28">
        <v>6692.07</v>
      </c>
      <c r="X82" s="28">
        <v>0</v>
      </c>
      <c r="Y82" s="28">
        <v>56548.799999999996</v>
      </c>
    </row>
    <row r="83" spans="1:25" ht="15" customHeight="1" x14ac:dyDescent="0.25">
      <c r="A83" s="8" t="s">
        <v>106</v>
      </c>
      <c r="B83" s="8" t="s">
        <v>153</v>
      </c>
      <c r="C83" s="28">
        <v>0</v>
      </c>
      <c r="D83" s="28">
        <v>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1986.6</v>
      </c>
      <c r="L83" s="28">
        <v>0</v>
      </c>
      <c r="M83" s="28">
        <v>2979.8999999999996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</row>
    <row r="84" spans="1:25" ht="15" customHeight="1" x14ac:dyDescent="0.25">
      <c r="A84" s="8" t="s">
        <v>107</v>
      </c>
      <c r="B84" s="8" t="s">
        <v>153</v>
      </c>
      <c r="C84" s="28">
        <v>101531.76999999997</v>
      </c>
      <c r="D84" s="28">
        <v>0</v>
      </c>
      <c r="E84" s="28">
        <v>70805.869999999966</v>
      </c>
      <c r="F84" s="28">
        <v>0</v>
      </c>
      <c r="G84" s="28">
        <v>0</v>
      </c>
      <c r="H84" s="28">
        <v>149774.10000000003</v>
      </c>
      <c r="I84" s="28">
        <v>0</v>
      </c>
      <c r="J84" s="28">
        <v>0</v>
      </c>
      <c r="K84" s="28">
        <v>488566.51999999984</v>
      </c>
      <c r="L84" s="28">
        <v>0</v>
      </c>
      <c r="M84" s="28">
        <v>429894.45999999979</v>
      </c>
      <c r="N84" s="28">
        <v>68315.829999999987</v>
      </c>
      <c r="O84" s="28">
        <v>48149.479999999996</v>
      </c>
      <c r="P84" s="28">
        <v>0</v>
      </c>
      <c r="Q84" s="28">
        <v>34912.179999999993</v>
      </c>
      <c r="R84" s="28">
        <v>182538.22000000009</v>
      </c>
      <c r="S84" s="28">
        <v>37594.219999999994</v>
      </c>
      <c r="T84" s="28">
        <v>5704.16</v>
      </c>
      <c r="U84" s="28">
        <v>133757.44000000012</v>
      </c>
      <c r="V84" s="28">
        <v>221243.74999999988</v>
      </c>
      <c r="W84" s="28">
        <v>7600.7099999999991</v>
      </c>
      <c r="X84" s="28">
        <v>1958.11</v>
      </c>
      <c r="Y84" s="28">
        <v>95526.490000000034</v>
      </c>
    </row>
    <row r="85" spans="1:25" ht="15" customHeight="1" x14ac:dyDescent="0.25">
      <c r="A85" s="8" t="s">
        <v>108</v>
      </c>
      <c r="B85" s="8" t="s">
        <v>153</v>
      </c>
      <c r="C85" s="28">
        <v>1078.77</v>
      </c>
      <c r="D85" s="28">
        <v>0</v>
      </c>
      <c r="E85" s="28">
        <v>0</v>
      </c>
      <c r="F85" s="28">
        <v>0</v>
      </c>
      <c r="G85" s="28">
        <v>0</v>
      </c>
      <c r="H85" s="28">
        <v>68449.919999999984</v>
      </c>
      <c r="I85" s="28">
        <v>0</v>
      </c>
      <c r="J85" s="28">
        <v>0</v>
      </c>
      <c r="K85" s="28">
        <v>89155.220000000016</v>
      </c>
      <c r="L85" s="28">
        <v>0</v>
      </c>
      <c r="M85" s="28">
        <v>118195.77</v>
      </c>
      <c r="N85" s="28">
        <v>1480.71</v>
      </c>
      <c r="O85" s="28">
        <v>10256.4</v>
      </c>
      <c r="P85" s="28">
        <v>0</v>
      </c>
      <c r="Q85" s="28">
        <v>0</v>
      </c>
      <c r="R85" s="28">
        <v>17380.440000000002</v>
      </c>
      <c r="S85" s="28">
        <v>37135.56</v>
      </c>
      <c r="T85" s="28">
        <v>0</v>
      </c>
      <c r="U85" s="28">
        <v>13739.88</v>
      </c>
      <c r="V85" s="28">
        <v>43067.64</v>
      </c>
      <c r="W85" s="28">
        <v>0</v>
      </c>
      <c r="X85" s="28">
        <v>0</v>
      </c>
      <c r="Y85" s="28">
        <v>37089.360000000001</v>
      </c>
    </row>
    <row r="86" spans="1:25" ht="15" customHeight="1" x14ac:dyDescent="0.25">
      <c r="A86" s="8" t="s">
        <v>109</v>
      </c>
      <c r="B86" s="8" t="s">
        <v>153</v>
      </c>
      <c r="C86" s="28">
        <v>164408.70999999993</v>
      </c>
      <c r="D86" s="28">
        <v>0</v>
      </c>
      <c r="E86" s="28">
        <v>109302.27</v>
      </c>
      <c r="F86" s="28">
        <v>0</v>
      </c>
      <c r="G86" s="28">
        <v>1000</v>
      </c>
      <c r="H86" s="28">
        <v>293819.30000000022</v>
      </c>
      <c r="I86" s="28">
        <v>142889.67000000004</v>
      </c>
      <c r="J86" s="28">
        <v>0</v>
      </c>
      <c r="K86" s="28">
        <v>323304.75</v>
      </c>
      <c r="L86" s="28">
        <v>52366.5</v>
      </c>
      <c r="M86" s="28">
        <v>800068.28999999957</v>
      </c>
      <c r="N86" s="28">
        <v>165658.34999999998</v>
      </c>
      <c r="O86" s="28">
        <v>-27218.400000000001</v>
      </c>
      <c r="P86" s="28">
        <v>0</v>
      </c>
      <c r="Q86" s="28">
        <v>7686.0600000000031</v>
      </c>
      <c r="R86" s="28">
        <v>448406.42000000004</v>
      </c>
      <c r="S86" s="28">
        <v>5269.1100000000006</v>
      </c>
      <c r="T86" s="28">
        <v>37733.85</v>
      </c>
      <c r="U86" s="28">
        <v>938440.76999999885</v>
      </c>
      <c r="V86" s="28">
        <v>288298.93000000011</v>
      </c>
      <c r="W86" s="28">
        <v>14522.97</v>
      </c>
      <c r="X86" s="28">
        <v>0</v>
      </c>
      <c r="Y86" s="28">
        <v>370138.23000000021</v>
      </c>
    </row>
    <row r="87" spans="1:25" ht="15" customHeight="1" x14ac:dyDescent="0.25">
      <c r="A87" s="8" t="s">
        <v>110</v>
      </c>
      <c r="B87" s="8" t="s">
        <v>153</v>
      </c>
      <c r="C87" s="28">
        <v>1345298.5599999994</v>
      </c>
      <c r="D87" s="28">
        <v>0</v>
      </c>
      <c r="E87" s="28">
        <v>2466634.2899999977</v>
      </c>
      <c r="F87" s="28">
        <v>0</v>
      </c>
      <c r="G87" s="28">
        <v>0</v>
      </c>
      <c r="H87" s="28">
        <v>2531159.6599999927</v>
      </c>
      <c r="I87" s="28">
        <v>1900396.9599999983</v>
      </c>
      <c r="J87" s="28">
        <v>0</v>
      </c>
      <c r="K87" s="28">
        <v>8928565.8400000036</v>
      </c>
      <c r="L87" s="28">
        <v>97281.659999999989</v>
      </c>
      <c r="M87" s="28">
        <v>8309646.9299999997</v>
      </c>
      <c r="N87" s="28">
        <v>2231824.2799999975</v>
      </c>
      <c r="O87" s="28">
        <v>648826.02</v>
      </c>
      <c r="P87" s="28">
        <v>0</v>
      </c>
      <c r="Q87" s="28">
        <v>541895.20000000007</v>
      </c>
      <c r="R87" s="28">
        <v>2507488.5399999991</v>
      </c>
      <c r="S87" s="28">
        <v>595637.6</v>
      </c>
      <c r="T87" s="28">
        <v>67870.879999999976</v>
      </c>
      <c r="U87" s="28">
        <v>3059373.5099999933</v>
      </c>
      <c r="V87" s="28">
        <v>3263826.1099999971</v>
      </c>
      <c r="W87" s="28">
        <v>68708.63999999997</v>
      </c>
      <c r="X87" s="28">
        <v>10515.119999999999</v>
      </c>
      <c r="Y87" s="28">
        <v>1643631.8699999992</v>
      </c>
    </row>
    <row r="88" spans="1:25" ht="15" customHeight="1" x14ac:dyDescent="0.25">
      <c r="A88" s="8" t="s">
        <v>111</v>
      </c>
      <c r="B88" s="8" t="s">
        <v>153</v>
      </c>
      <c r="C88" s="28">
        <v>48889.61</v>
      </c>
      <c r="D88" s="28">
        <v>0</v>
      </c>
      <c r="E88" s="28">
        <v>3880.8</v>
      </c>
      <c r="F88" s="28">
        <v>0</v>
      </c>
      <c r="G88" s="28">
        <v>0</v>
      </c>
      <c r="H88" s="28">
        <v>58867.960000000028</v>
      </c>
      <c r="I88" s="28">
        <v>0</v>
      </c>
      <c r="J88" s="28">
        <v>0</v>
      </c>
      <c r="K88" s="28">
        <v>216216.38999999996</v>
      </c>
      <c r="L88" s="28">
        <v>0</v>
      </c>
      <c r="M88" s="28">
        <v>79054.359999999986</v>
      </c>
      <c r="N88" s="28">
        <v>0</v>
      </c>
      <c r="O88" s="28">
        <v>5950.56</v>
      </c>
      <c r="P88" s="28">
        <v>0</v>
      </c>
      <c r="Q88" s="28">
        <v>9678.9</v>
      </c>
      <c r="R88" s="28">
        <v>25171.300000000007</v>
      </c>
      <c r="S88" s="28">
        <v>0</v>
      </c>
      <c r="T88" s="28">
        <v>0</v>
      </c>
      <c r="U88" s="28">
        <v>0</v>
      </c>
      <c r="V88" s="28">
        <v>37637.600000000006</v>
      </c>
      <c r="W88" s="28">
        <v>1940.4</v>
      </c>
      <c r="X88" s="28">
        <v>0</v>
      </c>
      <c r="Y88" s="28">
        <v>19404</v>
      </c>
    </row>
    <row r="89" spans="1:25" ht="15" customHeight="1" x14ac:dyDescent="0.25">
      <c r="A89" s="8" t="s">
        <v>112</v>
      </c>
      <c r="B89" s="8" t="s">
        <v>153</v>
      </c>
      <c r="C89" s="28">
        <v>256266.37000000008</v>
      </c>
      <c r="D89" s="28">
        <v>0</v>
      </c>
      <c r="E89" s="28">
        <v>107154.47999999995</v>
      </c>
      <c r="F89" s="28">
        <v>0</v>
      </c>
      <c r="G89" s="28">
        <v>350</v>
      </c>
      <c r="H89" s="28">
        <v>126810.49999999988</v>
      </c>
      <c r="I89" s="28">
        <v>196510.15999999995</v>
      </c>
      <c r="J89" s="28">
        <v>92563.239999999976</v>
      </c>
      <c r="K89" s="28">
        <v>1784440.3000000014</v>
      </c>
      <c r="L89" s="28">
        <v>24516.789999999997</v>
      </c>
      <c r="M89" s="28">
        <v>744199.47</v>
      </c>
      <c r="N89" s="28">
        <v>76279.77</v>
      </c>
      <c r="O89" s="28">
        <v>44961.730000000018</v>
      </c>
      <c r="P89" s="28">
        <v>0</v>
      </c>
      <c r="Q89" s="28">
        <v>11797.940000000006</v>
      </c>
      <c r="R89" s="28">
        <v>338208.72999999981</v>
      </c>
      <c r="S89" s="28">
        <v>18218.97</v>
      </c>
      <c r="T89" s="28">
        <v>25628.680000000008</v>
      </c>
      <c r="U89" s="28">
        <v>259559.45999999976</v>
      </c>
      <c r="V89" s="28">
        <v>271176.77999999991</v>
      </c>
      <c r="W89" s="28">
        <v>16599.319999999996</v>
      </c>
      <c r="X89" s="28">
        <v>14357.64</v>
      </c>
      <c r="Y89" s="28">
        <v>157316.78999999995</v>
      </c>
    </row>
    <row r="90" spans="1:25" ht="15" customHeight="1" x14ac:dyDescent="0.25">
      <c r="A90" s="8" t="s">
        <v>113</v>
      </c>
      <c r="B90" s="8" t="s">
        <v>153</v>
      </c>
      <c r="C90" s="28">
        <v>3957.7999999999997</v>
      </c>
      <c r="D90" s="28">
        <v>0</v>
      </c>
      <c r="E90" s="28">
        <v>0</v>
      </c>
      <c r="F90" s="28">
        <v>0</v>
      </c>
      <c r="G90" s="28">
        <v>0</v>
      </c>
      <c r="H90" s="28">
        <v>18316.8</v>
      </c>
      <c r="I90" s="28">
        <v>0</v>
      </c>
      <c r="J90" s="28">
        <v>0</v>
      </c>
      <c r="K90" s="28">
        <v>-493.57</v>
      </c>
      <c r="L90" s="28">
        <v>0</v>
      </c>
      <c r="M90" s="28">
        <v>7816.8</v>
      </c>
      <c r="N90" s="28">
        <v>0</v>
      </c>
      <c r="O90" s="28">
        <v>-3193.2</v>
      </c>
      <c r="P90" s="28">
        <v>0</v>
      </c>
      <c r="Q90" s="28">
        <v>0</v>
      </c>
      <c r="R90" s="28">
        <v>20746.32</v>
      </c>
      <c r="S90" s="28">
        <v>0</v>
      </c>
      <c r="T90" s="28">
        <v>0</v>
      </c>
      <c r="U90" s="28">
        <v>3104.64</v>
      </c>
      <c r="V90" s="28">
        <v>0</v>
      </c>
      <c r="W90" s="28">
        <v>0</v>
      </c>
      <c r="X90" s="28">
        <v>0</v>
      </c>
      <c r="Y90" s="28">
        <v>0</v>
      </c>
    </row>
    <row r="91" spans="1:25" ht="15" customHeight="1" x14ac:dyDescent="0.25">
      <c r="A91" s="8" t="s">
        <v>114</v>
      </c>
      <c r="B91" s="8" t="s">
        <v>153</v>
      </c>
      <c r="C91" s="28">
        <v>0</v>
      </c>
      <c r="D91" s="28">
        <v>0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11690.14</v>
      </c>
      <c r="N91" s="28">
        <v>0</v>
      </c>
      <c r="O91" s="28">
        <v>4122.58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</row>
    <row r="92" spans="1:25" ht="15" customHeight="1" x14ac:dyDescent="0.25">
      <c r="A92" s="8" t="s">
        <v>115</v>
      </c>
      <c r="B92" s="8" t="s">
        <v>153</v>
      </c>
      <c r="C92" s="28">
        <v>-250005.60000000003</v>
      </c>
      <c r="D92" s="28">
        <v>-10961.179999999997</v>
      </c>
      <c r="E92" s="28">
        <v>-123910.04</v>
      </c>
      <c r="F92" s="28">
        <v>-72290.13</v>
      </c>
      <c r="G92" s="28">
        <v>0</v>
      </c>
      <c r="H92" s="28">
        <v>-472311.16999999993</v>
      </c>
      <c r="I92" s="28">
        <v>0</v>
      </c>
      <c r="J92" s="28">
        <v>0</v>
      </c>
      <c r="K92" s="28">
        <v>-1523367.4600000002</v>
      </c>
      <c r="L92" s="28">
        <v>-13962.84</v>
      </c>
      <c r="M92" s="28">
        <v>-1320634.17</v>
      </c>
      <c r="N92" s="28">
        <v>-123123.23</v>
      </c>
      <c r="O92" s="28">
        <v>-1003579.1399999999</v>
      </c>
      <c r="P92" s="28">
        <v>0</v>
      </c>
      <c r="Q92" s="28">
        <v>-52834</v>
      </c>
      <c r="R92" s="28">
        <v>-517266.05000000005</v>
      </c>
      <c r="S92" s="28">
        <v>-67747.28</v>
      </c>
      <c r="T92" s="28">
        <v>0</v>
      </c>
      <c r="U92" s="28">
        <v>-300268.15000000002</v>
      </c>
      <c r="V92" s="28">
        <v>-11350.5</v>
      </c>
      <c r="W92" s="28">
        <v>-6096.0099999999993</v>
      </c>
      <c r="X92" s="28">
        <v>0</v>
      </c>
      <c r="Y92" s="28">
        <v>0</v>
      </c>
    </row>
    <row r="93" spans="1:25" ht="15" customHeight="1" x14ac:dyDescent="0.25">
      <c r="A93" s="8" t="s">
        <v>116</v>
      </c>
      <c r="B93" s="8" t="s">
        <v>153</v>
      </c>
      <c r="C93" s="28">
        <v>0</v>
      </c>
      <c r="D93" s="28">
        <v>0</v>
      </c>
      <c r="E93" s="28">
        <v>1031.8</v>
      </c>
      <c r="F93" s="28">
        <v>0</v>
      </c>
      <c r="G93" s="28">
        <v>0</v>
      </c>
      <c r="H93" s="28">
        <v>-366.5200000000001</v>
      </c>
      <c r="I93" s="28">
        <v>0</v>
      </c>
      <c r="J93" s="28">
        <v>0</v>
      </c>
      <c r="K93" s="28">
        <v>-14017.310000000001</v>
      </c>
      <c r="L93" s="28">
        <v>0</v>
      </c>
      <c r="M93" s="28">
        <v>3443.4399999999996</v>
      </c>
      <c r="N93" s="28">
        <v>0</v>
      </c>
      <c r="O93" s="28">
        <v>23421.86</v>
      </c>
      <c r="P93" s="28">
        <v>0</v>
      </c>
      <c r="Q93" s="28">
        <v>0</v>
      </c>
      <c r="R93" s="28">
        <v>7403.55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10204.040000000001</v>
      </c>
    </row>
    <row r="94" spans="1:25" ht="15" customHeight="1" x14ac:dyDescent="0.25">
      <c r="A94" s="8" t="s">
        <v>117</v>
      </c>
      <c r="B94" s="8" t="s">
        <v>153</v>
      </c>
      <c r="C94" s="28">
        <v>13152.37</v>
      </c>
      <c r="D94" s="28">
        <v>0</v>
      </c>
      <c r="E94" s="28">
        <v>106228.12000000002</v>
      </c>
      <c r="F94" s="28">
        <v>254.4</v>
      </c>
      <c r="G94" s="28">
        <v>0</v>
      </c>
      <c r="H94" s="28">
        <v>48748.700000000019</v>
      </c>
      <c r="I94" s="28">
        <v>0</v>
      </c>
      <c r="J94" s="28">
        <v>0</v>
      </c>
      <c r="K94" s="28">
        <v>151190.88999999993</v>
      </c>
      <c r="L94" s="28">
        <v>0</v>
      </c>
      <c r="M94" s="28">
        <v>208905.62000000011</v>
      </c>
      <c r="N94" s="28">
        <v>8371.4399999999987</v>
      </c>
      <c r="O94" s="28">
        <v>32758.11</v>
      </c>
      <c r="P94" s="28">
        <v>0</v>
      </c>
      <c r="Q94" s="28">
        <v>0</v>
      </c>
      <c r="R94" s="28">
        <v>48292.71</v>
      </c>
      <c r="S94" s="28">
        <v>-4295.37</v>
      </c>
      <c r="T94" s="28">
        <v>0</v>
      </c>
      <c r="U94" s="28">
        <v>40818.47</v>
      </c>
      <c r="V94" s="28">
        <v>3773.7700000000004</v>
      </c>
      <c r="W94" s="28">
        <v>4267.34</v>
      </c>
      <c r="X94" s="28">
        <v>4357.4299999999994</v>
      </c>
      <c r="Y94" s="28">
        <v>100394.91000000005</v>
      </c>
    </row>
    <row r="95" spans="1:25" ht="15" customHeight="1" x14ac:dyDescent="0.25">
      <c r="A95" s="8" t="s">
        <v>118</v>
      </c>
      <c r="B95" s="8" t="s">
        <v>153</v>
      </c>
      <c r="C95" s="28">
        <v>0</v>
      </c>
      <c r="D95" s="28">
        <v>0</v>
      </c>
      <c r="E95" s="28">
        <v>74754.679999999978</v>
      </c>
      <c r="F95" s="28">
        <v>0</v>
      </c>
      <c r="G95" s="28">
        <v>0</v>
      </c>
      <c r="H95" s="28">
        <v>1935.7800000000002</v>
      </c>
      <c r="I95" s="28">
        <v>0</v>
      </c>
      <c r="J95" s="28">
        <v>0</v>
      </c>
      <c r="K95" s="28">
        <v>-790.78999999999985</v>
      </c>
      <c r="L95" s="28">
        <v>0</v>
      </c>
      <c r="M95" s="28">
        <v>59439.379999999961</v>
      </c>
      <c r="N95" s="28">
        <v>7275.7300000000005</v>
      </c>
      <c r="O95" s="28">
        <v>2211.4399999999996</v>
      </c>
      <c r="P95" s="28">
        <v>0</v>
      </c>
      <c r="Q95" s="28">
        <v>-2778.16</v>
      </c>
      <c r="R95" s="28">
        <v>5594.82</v>
      </c>
      <c r="S95" s="28">
        <v>0</v>
      </c>
      <c r="T95" s="28">
        <v>2131.36</v>
      </c>
      <c r="U95" s="28">
        <v>8778.7700000000023</v>
      </c>
      <c r="V95" s="28">
        <v>53525.010000000009</v>
      </c>
      <c r="W95" s="28">
        <v>0</v>
      </c>
      <c r="X95" s="28">
        <v>-921.69</v>
      </c>
      <c r="Y95" s="28">
        <v>31970.400000000005</v>
      </c>
    </row>
    <row r="96" spans="1:25" ht="15" customHeight="1" x14ac:dyDescent="0.25">
      <c r="A96" s="8" t="s">
        <v>119</v>
      </c>
      <c r="B96" s="8" t="s">
        <v>153</v>
      </c>
      <c r="C96" s="28">
        <v>98857.450000000012</v>
      </c>
      <c r="D96" s="28">
        <v>0</v>
      </c>
      <c r="E96" s="28">
        <v>39306.960000000006</v>
      </c>
      <c r="F96" s="28">
        <v>0</v>
      </c>
      <c r="G96" s="28">
        <v>0</v>
      </c>
      <c r="H96" s="28">
        <v>85243.62</v>
      </c>
      <c r="I96" s="28">
        <v>0</v>
      </c>
      <c r="J96" s="28">
        <v>16632</v>
      </c>
      <c r="K96" s="28">
        <v>33454.19</v>
      </c>
      <c r="L96" s="28">
        <v>0</v>
      </c>
      <c r="M96" s="28">
        <v>777638.93999999959</v>
      </c>
      <c r="N96" s="28">
        <v>45922.799999999996</v>
      </c>
      <c r="O96" s="28">
        <v>31554.6</v>
      </c>
      <c r="P96" s="28">
        <v>0</v>
      </c>
      <c r="Q96" s="28">
        <v>1386</v>
      </c>
      <c r="R96" s="28">
        <v>116701.2</v>
      </c>
      <c r="S96" s="28">
        <v>7565.56</v>
      </c>
      <c r="T96" s="28">
        <v>0</v>
      </c>
      <c r="U96" s="28">
        <v>442263.36</v>
      </c>
      <c r="V96" s="28">
        <v>116160.66</v>
      </c>
      <c r="W96" s="28">
        <v>17685.36</v>
      </c>
      <c r="X96" s="28">
        <v>0</v>
      </c>
      <c r="Y96" s="28">
        <v>113337.84</v>
      </c>
    </row>
    <row r="97" spans="1:25" ht="15" customHeight="1" x14ac:dyDescent="0.25">
      <c r="A97" s="8" t="s">
        <v>120</v>
      </c>
      <c r="B97" s="8" t="s">
        <v>153</v>
      </c>
      <c r="C97" s="28">
        <v>56447.930000000008</v>
      </c>
      <c r="D97" s="28">
        <v>0</v>
      </c>
      <c r="E97" s="28">
        <v>76295.450000000012</v>
      </c>
      <c r="F97" s="28">
        <v>0</v>
      </c>
      <c r="G97" s="28">
        <v>0</v>
      </c>
      <c r="H97" s="28">
        <v>96509.42</v>
      </c>
      <c r="I97" s="28">
        <v>0</v>
      </c>
      <c r="J97" s="28">
        <v>0</v>
      </c>
      <c r="K97" s="28">
        <v>55442.080000000002</v>
      </c>
      <c r="L97" s="28">
        <v>0</v>
      </c>
      <c r="M97" s="28">
        <v>268027.76000000018</v>
      </c>
      <c r="N97" s="28">
        <v>20420.400000000005</v>
      </c>
      <c r="O97" s="28">
        <v>7689.840000000002</v>
      </c>
      <c r="P97" s="28">
        <v>0</v>
      </c>
      <c r="Q97" s="28">
        <v>29082.899999999998</v>
      </c>
      <c r="R97" s="28">
        <v>107813.08999999998</v>
      </c>
      <c r="S97" s="28">
        <v>15675.660000000002</v>
      </c>
      <c r="T97" s="28">
        <v>2102.1</v>
      </c>
      <c r="U97" s="28">
        <v>80253.02</v>
      </c>
      <c r="V97" s="28">
        <v>0</v>
      </c>
      <c r="W97" s="28">
        <v>10960.95</v>
      </c>
      <c r="X97" s="28">
        <v>750.75000000000023</v>
      </c>
      <c r="Y97" s="28">
        <v>72591.75</v>
      </c>
    </row>
    <row r="98" spans="1:25" ht="15" customHeight="1" x14ac:dyDescent="0.25">
      <c r="A98" s="8" t="s">
        <v>121</v>
      </c>
      <c r="B98" s="8" t="s">
        <v>153</v>
      </c>
      <c r="C98" s="28">
        <v>0</v>
      </c>
      <c r="D98" s="28">
        <v>0</v>
      </c>
      <c r="E98" s="28">
        <v>-107.03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-668.36</v>
      </c>
      <c r="N98" s="28">
        <v>0</v>
      </c>
      <c r="O98" s="28">
        <v>-1948.1000000000001</v>
      </c>
      <c r="P98" s="28">
        <v>0</v>
      </c>
      <c r="Q98" s="28">
        <v>0</v>
      </c>
      <c r="R98" s="28">
        <v>-799.26</v>
      </c>
      <c r="S98" s="28">
        <v>0</v>
      </c>
      <c r="T98" s="28">
        <v>0</v>
      </c>
      <c r="U98" s="28">
        <v>-428.12</v>
      </c>
      <c r="V98" s="28">
        <v>0</v>
      </c>
      <c r="W98" s="28">
        <v>0</v>
      </c>
      <c r="X98" s="28">
        <v>-266.42</v>
      </c>
      <c r="Y98" s="28">
        <v>0</v>
      </c>
    </row>
    <row r="99" spans="1:25" ht="15" customHeight="1" x14ac:dyDescent="0.25">
      <c r="A99" s="8" t="s">
        <v>122</v>
      </c>
      <c r="B99" s="8" t="s">
        <v>153</v>
      </c>
      <c r="C99" s="28">
        <v>0</v>
      </c>
      <c r="D99" s="28">
        <v>0</v>
      </c>
      <c r="E99" s="28">
        <v>2356.1999999999998</v>
      </c>
      <c r="F99" s="28">
        <v>0</v>
      </c>
      <c r="G99" s="28">
        <v>0</v>
      </c>
      <c r="H99" s="28">
        <v>-369.6</v>
      </c>
      <c r="I99" s="28">
        <v>0</v>
      </c>
      <c r="J99" s="28">
        <v>0</v>
      </c>
      <c r="K99" s="28">
        <v>4623.6999999999989</v>
      </c>
      <c r="L99" s="28">
        <v>0</v>
      </c>
      <c r="M99" s="28">
        <v>0</v>
      </c>
      <c r="N99" s="28">
        <v>0</v>
      </c>
      <c r="O99" s="28">
        <v>11781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</row>
    <row r="100" spans="1:25" ht="15" customHeight="1" x14ac:dyDescent="0.25">
      <c r="A100" s="8" t="s">
        <v>123</v>
      </c>
      <c r="B100" s="8" t="s">
        <v>153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489.72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</row>
    <row r="101" spans="1:25" ht="15" customHeight="1" x14ac:dyDescent="0.25">
      <c r="A101" s="8" t="s">
        <v>124</v>
      </c>
      <c r="B101" s="8" t="s">
        <v>153</v>
      </c>
      <c r="C101" s="28">
        <v>994.07000000000039</v>
      </c>
      <c r="D101" s="28">
        <v>0</v>
      </c>
      <c r="E101" s="28">
        <v>2677.9800000000005</v>
      </c>
      <c r="F101" s="28">
        <v>0</v>
      </c>
      <c r="G101" s="28">
        <v>0</v>
      </c>
      <c r="H101" s="28">
        <v>36425.160000000003</v>
      </c>
      <c r="I101" s="28">
        <v>0</v>
      </c>
      <c r="J101" s="28">
        <v>0</v>
      </c>
      <c r="K101" s="28">
        <v>4416.41</v>
      </c>
      <c r="L101" s="28">
        <v>0</v>
      </c>
      <c r="M101" s="28">
        <v>33647.23000000001</v>
      </c>
      <c r="N101" s="28">
        <v>2242.2400000000007</v>
      </c>
      <c r="O101" s="28">
        <v>8365.2800000000007</v>
      </c>
      <c r="P101" s="28">
        <v>0</v>
      </c>
      <c r="Q101" s="28">
        <v>0</v>
      </c>
      <c r="R101" s="28">
        <v>9114.3300000000054</v>
      </c>
      <c r="S101" s="28">
        <v>11038.720000000003</v>
      </c>
      <c r="T101" s="28">
        <v>0</v>
      </c>
      <c r="U101" s="28">
        <v>30615.200000000004</v>
      </c>
      <c r="V101" s="28">
        <v>14488.320000000007</v>
      </c>
      <c r="W101" s="28">
        <v>0</v>
      </c>
      <c r="X101" s="28">
        <v>0</v>
      </c>
      <c r="Y101" s="28">
        <v>15350.720000000005</v>
      </c>
    </row>
    <row r="102" spans="1:25" ht="15" customHeight="1" x14ac:dyDescent="0.25">
      <c r="A102" s="8" t="s">
        <v>125</v>
      </c>
      <c r="B102" s="8" t="s">
        <v>153</v>
      </c>
      <c r="C102" s="28">
        <v>-634.0900000000014</v>
      </c>
      <c r="D102" s="28">
        <v>0</v>
      </c>
      <c r="E102" s="28">
        <v>0</v>
      </c>
      <c r="F102" s="28">
        <v>0</v>
      </c>
      <c r="G102" s="28">
        <v>0</v>
      </c>
      <c r="H102" s="28">
        <v>2879.8</v>
      </c>
      <c r="I102" s="28">
        <v>0</v>
      </c>
      <c r="J102" s="28">
        <v>0</v>
      </c>
      <c r="K102" s="28">
        <v>-290.61999999999864</v>
      </c>
      <c r="L102" s="28">
        <v>0</v>
      </c>
      <c r="M102" s="28">
        <v>94746.96</v>
      </c>
      <c r="N102" s="28">
        <v>0</v>
      </c>
      <c r="O102" s="28">
        <v>0</v>
      </c>
      <c r="P102" s="28">
        <v>0</v>
      </c>
      <c r="Q102" s="28">
        <v>0</v>
      </c>
      <c r="R102" s="28">
        <v>19718.16</v>
      </c>
      <c r="S102" s="28">
        <v>-5470.4599999999991</v>
      </c>
      <c r="T102" s="28">
        <v>0</v>
      </c>
      <c r="U102" s="28">
        <v>12376.21</v>
      </c>
      <c r="V102" s="28">
        <v>657.58</v>
      </c>
      <c r="W102" s="28">
        <v>2069.7600000000002</v>
      </c>
      <c r="X102" s="28">
        <v>0</v>
      </c>
      <c r="Y102" s="28">
        <v>20822.34</v>
      </c>
    </row>
    <row r="103" spans="1:25" ht="15" customHeight="1" x14ac:dyDescent="0.25">
      <c r="A103" s="8" t="s">
        <v>126</v>
      </c>
      <c r="B103" s="8" t="s">
        <v>153</v>
      </c>
      <c r="C103" s="28">
        <v>33769.12000000001</v>
      </c>
      <c r="D103" s="28">
        <v>0</v>
      </c>
      <c r="E103" s="28">
        <v>77031.570000000022</v>
      </c>
      <c r="F103" s="28">
        <v>0</v>
      </c>
      <c r="G103" s="28">
        <v>0</v>
      </c>
      <c r="H103" s="28">
        <v>187507.00999999972</v>
      </c>
      <c r="I103" s="28">
        <v>0</v>
      </c>
      <c r="J103" s="28">
        <v>7613.76</v>
      </c>
      <c r="K103" s="28">
        <v>460076.68999999942</v>
      </c>
      <c r="L103" s="28">
        <v>0</v>
      </c>
      <c r="M103" s="28">
        <v>336035.5499999997</v>
      </c>
      <c r="N103" s="28">
        <v>60076.940000000039</v>
      </c>
      <c r="O103" s="28">
        <v>28434.559999999998</v>
      </c>
      <c r="P103" s="28">
        <v>0</v>
      </c>
      <c r="Q103" s="28">
        <v>6440.2800000000016</v>
      </c>
      <c r="R103" s="28">
        <v>148964.20000000007</v>
      </c>
      <c r="S103" s="28">
        <v>174717.00000000003</v>
      </c>
      <c r="T103" s="28">
        <v>1774.08</v>
      </c>
      <c r="U103" s="28">
        <v>117116.83000000006</v>
      </c>
      <c r="V103" s="28">
        <v>119251.90000000008</v>
      </c>
      <c r="W103" s="28">
        <v>1774.08</v>
      </c>
      <c r="X103" s="28">
        <v>2910.5999999999995</v>
      </c>
      <c r="Y103" s="28">
        <v>81489.10000000002</v>
      </c>
    </row>
    <row r="104" spans="1:25" ht="15" customHeight="1" x14ac:dyDescent="0.25">
      <c r="A104" s="8" t="s">
        <v>127</v>
      </c>
      <c r="B104" s="8" t="s">
        <v>153</v>
      </c>
      <c r="C104" s="28">
        <v>0</v>
      </c>
      <c r="D104" s="28">
        <v>0</v>
      </c>
      <c r="E104" s="28">
        <v>0</v>
      </c>
      <c r="F104" s="28">
        <v>0</v>
      </c>
      <c r="G104" s="28">
        <v>0</v>
      </c>
      <c r="H104" s="28">
        <v>59551.8</v>
      </c>
      <c r="I104" s="28">
        <v>0</v>
      </c>
      <c r="J104" s="28">
        <v>0</v>
      </c>
      <c r="K104" s="28">
        <v>40593.020000000004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</row>
    <row r="105" spans="1:25" ht="15" customHeight="1" x14ac:dyDescent="0.25">
      <c r="A105" s="8" t="s">
        <v>128</v>
      </c>
      <c r="B105" s="8" t="s">
        <v>153</v>
      </c>
      <c r="C105" s="28">
        <v>452.76</v>
      </c>
      <c r="D105" s="28">
        <v>0</v>
      </c>
      <c r="E105" s="28">
        <v>-5815.0400000000009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-4254.3999999999996</v>
      </c>
      <c r="L105" s="28">
        <v>0</v>
      </c>
      <c r="M105" s="28">
        <v>7611.6</v>
      </c>
      <c r="N105" s="28">
        <v>8602.44</v>
      </c>
      <c r="O105" s="28">
        <v>-683.7600000000001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937.86</v>
      </c>
      <c r="V105" s="28">
        <v>0</v>
      </c>
      <c r="W105" s="28">
        <v>0</v>
      </c>
      <c r="X105" s="28">
        <v>0</v>
      </c>
      <c r="Y105" s="28">
        <v>17221.050000000003</v>
      </c>
    </row>
    <row r="106" spans="1:25" ht="15" customHeight="1" x14ac:dyDescent="0.25">
      <c r="A106" s="8" t="s">
        <v>129</v>
      </c>
      <c r="B106" s="8" t="s">
        <v>153</v>
      </c>
      <c r="C106" s="28">
        <v>14671.08</v>
      </c>
      <c r="D106" s="28">
        <v>0</v>
      </c>
      <c r="E106" s="28">
        <v>6510.0400000000009</v>
      </c>
      <c r="F106" s="28">
        <v>1248227.5099999998</v>
      </c>
      <c r="G106" s="28">
        <v>11840</v>
      </c>
      <c r="H106" s="28">
        <v>323602.7</v>
      </c>
      <c r="I106" s="28">
        <v>0</v>
      </c>
      <c r="J106" s="28">
        <v>133573.26999999999</v>
      </c>
      <c r="K106" s="28">
        <v>565498.43000000005</v>
      </c>
      <c r="L106" s="28">
        <v>0</v>
      </c>
      <c r="M106" s="28">
        <v>473306.26999999996</v>
      </c>
      <c r="N106" s="28">
        <v>120087.41</v>
      </c>
      <c r="O106" s="28">
        <v>77913</v>
      </c>
      <c r="P106" s="28">
        <v>102644.51000000001</v>
      </c>
      <c r="Q106" s="28">
        <v>0</v>
      </c>
      <c r="R106" s="28">
        <v>82610.819999999992</v>
      </c>
      <c r="S106" s="28">
        <v>-481.25</v>
      </c>
      <c r="T106" s="28">
        <v>0</v>
      </c>
      <c r="U106" s="28">
        <v>126853.20000000001</v>
      </c>
      <c r="V106" s="28">
        <v>-134.75</v>
      </c>
      <c r="W106" s="28">
        <v>27588.460000000003</v>
      </c>
      <c r="X106" s="28">
        <v>8253.91</v>
      </c>
      <c r="Y106" s="28">
        <v>237536.82</v>
      </c>
    </row>
    <row r="107" spans="1:25" ht="15" customHeight="1" x14ac:dyDescent="0.25">
      <c r="A107" s="8" t="s">
        <v>130</v>
      </c>
      <c r="B107" s="8" t="s">
        <v>153</v>
      </c>
      <c r="C107" s="28">
        <v>0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44435.16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9969.9600000000009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</row>
    <row r="108" spans="1:25" ht="15" customHeight="1" x14ac:dyDescent="0.25">
      <c r="A108" s="8" t="s">
        <v>131</v>
      </c>
      <c r="B108" s="8" t="s">
        <v>153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-2407.02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</row>
    <row r="109" spans="1:25" ht="15" customHeight="1" x14ac:dyDescent="0.25">
      <c r="A109" s="8" t="s">
        <v>132</v>
      </c>
      <c r="B109" s="8" t="s">
        <v>153</v>
      </c>
      <c r="C109" s="28">
        <v>13375.359999999999</v>
      </c>
      <c r="D109" s="28">
        <v>0</v>
      </c>
      <c r="E109" s="28">
        <v>9831.36</v>
      </c>
      <c r="F109" s="28">
        <v>0</v>
      </c>
      <c r="G109" s="28">
        <v>0</v>
      </c>
      <c r="H109" s="28">
        <v>70117.590000000011</v>
      </c>
      <c r="I109" s="28">
        <v>0</v>
      </c>
      <c r="J109" s="28">
        <v>0</v>
      </c>
      <c r="K109" s="28">
        <v>-46286.35</v>
      </c>
      <c r="L109" s="28">
        <v>0</v>
      </c>
      <c r="M109" s="28">
        <v>64295.15</v>
      </c>
      <c r="N109" s="28">
        <v>36766.409999999996</v>
      </c>
      <c r="O109" s="28">
        <v>-21498.85</v>
      </c>
      <c r="P109" s="28">
        <v>0</v>
      </c>
      <c r="Q109" s="28">
        <v>0</v>
      </c>
      <c r="R109" s="28">
        <v>10385.48</v>
      </c>
      <c r="S109" s="28">
        <v>693</v>
      </c>
      <c r="T109" s="28">
        <v>0</v>
      </c>
      <c r="U109" s="28">
        <v>33587.399999999994</v>
      </c>
      <c r="V109" s="28">
        <v>90141.59</v>
      </c>
      <c r="W109" s="28">
        <v>0</v>
      </c>
      <c r="X109" s="28">
        <v>-7178.7099999999991</v>
      </c>
      <c r="Y109" s="28">
        <v>55407.73000000001</v>
      </c>
    </row>
    <row r="110" spans="1:25" ht="15" customHeight="1" x14ac:dyDescent="0.25">
      <c r="A110" s="8" t="s">
        <v>133</v>
      </c>
      <c r="B110" s="8" t="s">
        <v>153</v>
      </c>
      <c r="C110" s="28">
        <v>9150.3799999999992</v>
      </c>
      <c r="D110" s="28">
        <v>0</v>
      </c>
      <c r="E110" s="28">
        <v>23871.690000000002</v>
      </c>
      <c r="F110" s="28">
        <v>5184</v>
      </c>
      <c r="G110" s="28">
        <v>0</v>
      </c>
      <c r="H110" s="28">
        <v>17508.269999999997</v>
      </c>
      <c r="I110" s="28">
        <v>0</v>
      </c>
      <c r="J110" s="28">
        <v>0</v>
      </c>
      <c r="K110" s="28">
        <v>-3272.8700000000003</v>
      </c>
      <c r="L110" s="28">
        <v>0</v>
      </c>
      <c r="M110" s="28">
        <v>65637.270000000019</v>
      </c>
      <c r="N110" s="28">
        <v>12267.64</v>
      </c>
      <c r="O110" s="28">
        <v>-1033.3399999999999</v>
      </c>
      <c r="P110" s="28">
        <v>0</v>
      </c>
      <c r="Q110" s="28">
        <v>0</v>
      </c>
      <c r="R110" s="28">
        <v>29671.260000000002</v>
      </c>
      <c r="S110" s="28">
        <v>3719.9499999999994</v>
      </c>
      <c r="T110" s="28">
        <v>0</v>
      </c>
      <c r="U110" s="28">
        <v>15160.53</v>
      </c>
      <c r="V110" s="28">
        <v>1857.2400000000002</v>
      </c>
      <c r="W110" s="28">
        <v>154.54000000000002</v>
      </c>
      <c r="X110" s="28">
        <v>0</v>
      </c>
      <c r="Y110" s="28">
        <v>7161</v>
      </c>
    </row>
    <row r="111" spans="1:25" ht="15" customHeight="1" x14ac:dyDescent="0.25">
      <c r="A111" s="8" t="s">
        <v>134</v>
      </c>
      <c r="B111" s="8" t="s">
        <v>153</v>
      </c>
      <c r="C111" s="28">
        <v>0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-931.7</v>
      </c>
      <c r="L111" s="28">
        <v>0</v>
      </c>
      <c r="M111" s="28">
        <v>889.35</v>
      </c>
      <c r="N111" s="28">
        <v>0</v>
      </c>
      <c r="O111" s="28">
        <v>0</v>
      </c>
      <c r="P111" s="28">
        <v>0</v>
      </c>
      <c r="Q111" s="28">
        <v>0</v>
      </c>
      <c r="R111" s="28">
        <v>152.46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</row>
    <row r="112" spans="1:25" ht="15" customHeight="1" x14ac:dyDescent="0.25">
      <c r="A112" s="8" t="s">
        <v>135</v>
      </c>
      <c r="B112" s="8" t="s">
        <v>153</v>
      </c>
      <c r="C112" s="28">
        <v>24947.999999999996</v>
      </c>
      <c r="D112" s="28">
        <v>0</v>
      </c>
      <c r="E112" s="28">
        <v>3742.2000000000003</v>
      </c>
      <c r="F112" s="28">
        <v>0</v>
      </c>
      <c r="G112" s="28">
        <v>0</v>
      </c>
      <c r="H112" s="28">
        <v>44898.160000000025</v>
      </c>
      <c r="I112" s="28">
        <v>0</v>
      </c>
      <c r="J112" s="28">
        <v>0</v>
      </c>
      <c r="K112" s="28">
        <v>230497.41999999998</v>
      </c>
      <c r="L112" s="28">
        <v>0</v>
      </c>
      <c r="M112" s="28">
        <v>97568.24</v>
      </c>
      <c r="N112" s="28">
        <v>7484.4</v>
      </c>
      <c r="O112" s="28">
        <v>9147.6</v>
      </c>
      <c r="P112" s="28">
        <v>0</v>
      </c>
      <c r="Q112" s="28">
        <v>23571.239999999998</v>
      </c>
      <c r="R112" s="28">
        <v>50006.880000000019</v>
      </c>
      <c r="S112" s="28">
        <v>11191.949999999999</v>
      </c>
      <c r="T112" s="28">
        <v>0</v>
      </c>
      <c r="U112" s="28">
        <v>2494.8000000000002</v>
      </c>
      <c r="V112" s="28">
        <v>57761.550000000025</v>
      </c>
      <c r="W112" s="28">
        <v>0</v>
      </c>
      <c r="X112" s="28">
        <v>0</v>
      </c>
      <c r="Y112" s="28">
        <v>29937.600000000006</v>
      </c>
    </row>
    <row r="113" spans="1:25" ht="15" customHeight="1" x14ac:dyDescent="0.25">
      <c r="A113" s="8" t="s">
        <v>136</v>
      </c>
      <c r="B113" s="8" t="s">
        <v>153</v>
      </c>
      <c r="C113" s="28">
        <v>76354.739999999991</v>
      </c>
      <c r="D113" s="28">
        <v>0</v>
      </c>
      <c r="E113" s="28">
        <v>108895.36</v>
      </c>
      <c r="F113" s="28">
        <v>0</v>
      </c>
      <c r="G113" s="28">
        <v>0</v>
      </c>
      <c r="H113" s="28">
        <v>210278.53000000006</v>
      </c>
      <c r="I113" s="28">
        <v>0</v>
      </c>
      <c r="J113" s="28">
        <v>0</v>
      </c>
      <c r="K113" s="28">
        <v>822215.70000000019</v>
      </c>
      <c r="L113" s="28">
        <v>0</v>
      </c>
      <c r="M113" s="28">
        <v>457916.20000000024</v>
      </c>
      <c r="N113" s="28">
        <v>102382.01000000004</v>
      </c>
      <c r="O113" s="28">
        <v>61204.989999999991</v>
      </c>
      <c r="P113" s="28">
        <v>0</v>
      </c>
      <c r="Q113" s="28">
        <v>16967.719999999998</v>
      </c>
      <c r="R113" s="28">
        <v>190280.85999999993</v>
      </c>
      <c r="S113" s="28">
        <v>30905.489999999998</v>
      </c>
      <c r="T113" s="28">
        <v>0</v>
      </c>
      <c r="U113" s="28">
        <v>134529.78000000003</v>
      </c>
      <c r="V113" s="28">
        <v>653766.24999999977</v>
      </c>
      <c r="W113" s="28">
        <v>-2423.96</v>
      </c>
      <c r="X113" s="28">
        <v>2423.96</v>
      </c>
      <c r="Y113" s="28">
        <v>114532.11000000002</v>
      </c>
    </row>
    <row r="114" spans="1:25" ht="15" customHeight="1" x14ac:dyDescent="0.25">
      <c r="A114" s="8" t="s">
        <v>137</v>
      </c>
      <c r="B114" s="8" t="s">
        <v>153</v>
      </c>
      <c r="C114" s="28">
        <v>0</v>
      </c>
      <c r="D114" s="28">
        <v>0</v>
      </c>
      <c r="E114" s="28">
        <v>3187.7999999999997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1062.5999999999999</v>
      </c>
      <c r="R114" s="28">
        <v>0</v>
      </c>
      <c r="S114" s="28">
        <v>0</v>
      </c>
      <c r="T114" s="28">
        <v>0</v>
      </c>
      <c r="U114" s="28">
        <v>3187.7999999999993</v>
      </c>
      <c r="V114" s="28">
        <v>0</v>
      </c>
      <c r="W114" s="28">
        <v>0</v>
      </c>
      <c r="X114" s="28">
        <v>0</v>
      </c>
      <c r="Y114" s="28">
        <v>0</v>
      </c>
    </row>
    <row r="115" spans="1:25" ht="15" customHeight="1" x14ac:dyDescent="0.25">
      <c r="A115" s="8" t="s">
        <v>138</v>
      </c>
      <c r="B115" s="8" t="s">
        <v>153</v>
      </c>
      <c r="C115" s="28">
        <v>16252.31</v>
      </c>
      <c r="D115" s="28">
        <v>0</v>
      </c>
      <c r="E115" s="28">
        <v>43001.499999999993</v>
      </c>
      <c r="F115" s="28">
        <v>0</v>
      </c>
      <c r="G115" s="28">
        <v>0</v>
      </c>
      <c r="H115" s="28">
        <v>50980.110000000008</v>
      </c>
      <c r="I115" s="28">
        <v>12270.720000000001</v>
      </c>
      <c r="J115" s="28">
        <v>0</v>
      </c>
      <c r="K115" s="28">
        <v>77288.729999999923</v>
      </c>
      <c r="L115" s="28">
        <v>0</v>
      </c>
      <c r="M115" s="28">
        <v>91032</v>
      </c>
      <c r="N115" s="28">
        <v>18969.719999999998</v>
      </c>
      <c r="O115" s="28">
        <v>26966.179999999997</v>
      </c>
      <c r="P115" s="28">
        <v>0</v>
      </c>
      <c r="Q115" s="28">
        <v>443.52</v>
      </c>
      <c r="R115" s="28">
        <v>13080.729999999998</v>
      </c>
      <c r="S115" s="28">
        <v>20175.919999999995</v>
      </c>
      <c r="T115" s="28">
        <v>5396.16</v>
      </c>
      <c r="U115" s="28">
        <v>58032.219999999987</v>
      </c>
      <c r="V115" s="28">
        <v>20623.680000000004</v>
      </c>
      <c r="W115" s="28">
        <v>468.16</v>
      </c>
      <c r="X115" s="28">
        <v>0</v>
      </c>
      <c r="Y115" s="28">
        <v>87078.209999999948</v>
      </c>
    </row>
    <row r="116" spans="1:25" ht="15" customHeight="1" x14ac:dyDescent="0.25">
      <c r="A116" s="8" t="s">
        <v>139</v>
      </c>
      <c r="B116" s="8" t="s">
        <v>153</v>
      </c>
      <c r="C116" s="28">
        <v>0</v>
      </c>
      <c r="D116" s="28">
        <v>0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2219.1400000000003</v>
      </c>
      <c r="L116" s="28">
        <v>0</v>
      </c>
      <c r="M116" s="28">
        <v>605.22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</row>
    <row r="117" spans="1:25" ht="15" customHeight="1" x14ac:dyDescent="0.25">
      <c r="A117" s="8" t="s">
        <v>140</v>
      </c>
      <c r="B117" s="8" t="s">
        <v>153</v>
      </c>
      <c r="C117" s="28">
        <v>582.12</v>
      </c>
      <c r="D117" s="28">
        <v>40748.399999999994</v>
      </c>
      <c r="E117" s="28">
        <v>3696</v>
      </c>
      <c r="F117" s="28">
        <v>0</v>
      </c>
      <c r="G117" s="28">
        <v>0</v>
      </c>
      <c r="H117" s="28">
        <v>8235.760000000002</v>
      </c>
      <c r="I117" s="28">
        <v>0</v>
      </c>
      <c r="J117" s="28">
        <v>0</v>
      </c>
      <c r="K117" s="28">
        <v>169939.46000000005</v>
      </c>
      <c r="L117" s="28">
        <v>0</v>
      </c>
      <c r="M117" s="28">
        <v>124275.14999999998</v>
      </c>
      <c r="N117" s="28">
        <v>40328.750000000007</v>
      </c>
      <c r="O117" s="28">
        <v>11081.84</v>
      </c>
      <c r="P117" s="28">
        <v>0</v>
      </c>
      <c r="Q117" s="28">
        <v>0</v>
      </c>
      <c r="R117" s="28">
        <v>1282.3599999999999</v>
      </c>
      <c r="S117" s="28">
        <v>4281.2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11985.05</v>
      </c>
    </row>
    <row r="118" spans="1:25" ht="15" customHeight="1" x14ac:dyDescent="0.25">
      <c r="A118" s="8" t="s">
        <v>141</v>
      </c>
      <c r="B118" s="8" t="s">
        <v>153</v>
      </c>
      <c r="C118" s="28">
        <v>14285.81</v>
      </c>
      <c r="D118" s="28">
        <v>0</v>
      </c>
      <c r="E118" s="28">
        <v>6828.3600000000006</v>
      </c>
      <c r="F118" s="28">
        <v>0</v>
      </c>
      <c r="G118" s="28">
        <v>0</v>
      </c>
      <c r="H118" s="28">
        <v>5239.8499999999995</v>
      </c>
      <c r="I118" s="28">
        <v>0</v>
      </c>
      <c r="J118" s="28">
        <v>0</v>
      </c>
      <c r="K118" s="28">
        <v>19516.410000000003</v>
      </c>
      <c r="L118" s="28">
        <v>0</v>
      </c>
      <c r="M118" s="28">
        <v>41929.270000000011</v>
      </c>
      <c r="N118" s="28">
        <v>14211.119999999997</v>
      </c>
      <c r="O118" s="28">
        <v>6320.16</v>
      </c>
      <c r="P118" s="28">
        <v>0</v>
      </c>
      <c r="Q118" s="28">
        <v>0</v>
      </c>
      <c r="R118" s="28">
        <v>718.64</v>
      </c>
      <c r="S118" s="28">
        <v>5826.130000000001</v>
      </c>
      <c r="T118" s="28">
        <v>0</v>
      </c>
      <c r="U118" s="28">
        <v>544.54</v>
      </c>
      <c r="V118" s="28">
        <v>2294.6000000000004</v>
      </c>
      <c r="W118" s="28">
        <v>0</v>
      </c>
      <c r="X118" s="28">
        <v>0</v>
      </c>
      <c r="Y118" s="28">
        <v>10367.280000000001</v>
      </c>
    </row>
    <row r="119" spans="1:25" ht="15" customHeight="1" x14ac:dyDescent="0.25">
      <c r="A119" s="8" t="s">
        <v>142</v>
      </c>
      <c r="B119" s="8" t="s">
        <v>153</v>
      </c>
      <c r="C119" s="28">
        <v>15024.24</v>
      </c>
      <c r="D119" s="28">
        <v>0</v>
      </c>
      <c r="E119" s="28">
        <v>-5932.08</v>
      </c>
      <c r="F119" s="28">
        <v>0</v>
      </c>
      <c r="G119" s="28">
        <v>0</v>
      </c>
      <c r="H119" s="28">
        <v>29384.740000000005</v>
      </c>
      <c r="I119" s="28">
        <v>0</v>
      </c>
      <c r="J119" s="28">
        <v>0</v>
      </c>
      <c r="K119" s="28">
        <v>-2467.08</v>
      </c>
      <c r="L119" s="28">
        <v>0</v>
      </c>
      <c r="M119" s="28">
        <v>116409.05</v>
      </c>
      <c r="N119" s="28">
        <v>0</v>
      </c>
      <c r="O119" s="28">
        <v>3954.72</v>
      </c>
      <c r="P119" s="28">
        <v>0</v>
      </c>
      <c r="Q119" s="28">
        <v>0</v>
      </c>
      <c r="R119" s="28">
        <v>-1775</v>
      </c>
      <c r="S119" s="28">
        <v>5918.99</v>
      </c>
      <c r="T119" s="28">
        <v>0</v>
      </c>
      <c r="U119" s="28">
        <v>1911.1399999999999</v>
      </c>
      <c r="V119" s="28">
        <v>41735.54</v>
      </c>
      <c r="W119" s="28">
        <v>0</v>
      </c>
      <c r="X119" s="28">
        <v>0</v>
      </c>
      <c r="Y119" s="28">
        <v>18156.599999999999</v>
      </c>
    </row>
    <row r="120" spans="1:25" ht="15" customHeight="1" x14ac:dyDescent="0.25">
      <c r="A120" s="8" t="s">
        <v>143</v>
      </c>
      <c r="B120" s="8" t="s">
        <v>153</v>
      </c>
      <c r="C120" s="28">
        <v>0</v>
      </c>
      <c r="D120" s="28">
        <v>0</v>
      </c>
      <c r="E120" s="28">
        <v>0</v>
      </c>
      <c r="F120" s="28">
        <v>0</v>
      </c>
      <c r="G120" s="28">
        <v>0</v>
      </c>
      <c r="H120" s="28">
        <v>-1713.2499999999989</v>
      </c>
      <c r="I120" s="28">
        <v>0</v>
      </c>
      <c r="J120" s="28">
        <v>0</v>
      </c>
      <c r="K120" s="28">
        <v>0</v>
      </c>
      <c r="L120" s="28">
        <v>0</v>
      </c>
      <c r="M120" s="28">
        <v>174086.98999999996</v>
      </c>
      <c r="N120" s="28">
        <v>0</v>
      </c>
      <c r="O120" s="28">
        <v>0</v>
      </c>
      <c r="P120" s="28">
        <v>0</v>
      </c>
      <c r="Q120" s="28">
        <v>25068.120000000021</v>
      </c>
      <c r="R120" s="28">
        <v>55061.159999999974</v>
      </c>
      <c r="S120" s="28">
        <v>0</v>
      </c>
      <c r="T120" s="28">
        <v>0</v>
      </c>
      <c r="U120" s="28">
        <v>106822.86999999984</v>
      </c>
      <c r="V120" s="28">
        <v>1016.4000000000001</v>
      </c>
      <c r="W120" s="28">
        <v>0</v>
      </c>
      <c r="X120" s="28">
        <v>0</v>
      </c>
      <c r="Y120" s="28">
        <v>0</v>
      </c>
    </row>
    <row r="121" spans="1:25" ht="15" customHeight="1" x14ac:dyDescent="0.25">
      <c r="A121" s="8" t="s">
        <v>144</v>
      </c>
      <c r="B121" s="8" t="s">
        <v>153</v>
      </c>
      <c r="C121" s="28">
        <v>16736.72</v>
      </c>
      <c r="D121" s="28">
        <v>0</v>
      </c>
      <c r="E121" s="28">
        <v>-4037.88</v>
      </c>
      <c r="F121" s="28">
        <v>0</v>
      </c>
      <c r="G121" s="28">
        <v>0</v>
      </c>
      <c r="H121" s="28">
        <v>5100.4800000000005</v>
      </c>
      <c r="I121" s="28">
        <v>0</v>
      </c>
      <c r="J121" s="28">
        <v>0</v>
      </c>
      <c r="K121" s="28">
        <v>4147.53</v>
      </c>
      <c r="L121" s="28">
        <v>0</v>
      </c>
      <c r="M121" s="28">
        <v>8370.67</v>
      </c>
      <c r="N121" s="28">
        <v>2550.2400000000002</v>
      </c>
      <c r="O121" s="28">
        <v>2550.2400000000002</v>
      </c>
      <c r="P121" s="28">
        <v>0</v>
      </c>
      <c r="Q121" s="28">
        <v>0</v>
      </c>
      <c r="R121" s="28">
        <v>-637.55999999999995</v>
      </c>
      <c r="S121" s="28">
        <v>850.08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3400.32</v>
      </c>
    </row>
    <row r="122" spans="1:25" ht="15" customHeight="1" x14ac:dyDescent="0.25">
      <c r="A122" s="8" t="s">
        <v>145</v>
      </c>
      <c r="B122" s="8" t="s">
        <v>153</v>
      </c>
      <c r="C122" s="28">
        <v>8963.2300000000014</v>
      </c>
      <c r="D122" s="28">
        <v>0</v>
      </c>
      <c r="E122" s="28">
        <v>15790.17</v>
      </c>
      <c r="F122" s="28">
        <v>0</v>
      </c>
      <c r="G122" s="28">
        <v>0</v>
      </c>
      <c r="H122" s="28">
        <v>18731.75</v>
      </c>
      <c r="I122" s="28">
        <v>0</v>
      </c>
      <c r="J122" s="28">
        <v>0</v>
      </c>
      <c r="K122" s="28">
        <v>161380.78999999995</v>
      </c>
      <c r="L122" s="28">
        <v>0</v>
      </c>
      <c r="M122" s="28">
        <v>33527.909999999996</v>
      </c>
      <c r="N122" s="28">
        <v>0</v>
      </c>
      <c r="O122" s="28">
        <v>667.26000000000226</v>
      </c>
      <c r="P122" s="28">
        <v>0</v>
      </c>
      <c r="Q122" s="28">
        <v>9839.83</v>
      </c>
      <c r="R122" s="28">
        <v>20422.689999999995</v>
      </c>
      <c r="S122" s="28">
        <v>-2746.48</v>
      </c>
      <c r="T122" s="28">
        <v>0</v>
      </c>
      <c r="U122" s="28">
        <v>-231.06</v>
      </c>
      <c r="V122" s="28">
        <v>57791.659999999989</v>
      </c>
      <c r="W122" s="28">
        <v>377.58999999999992</v>
      </c>
      <c r="X122" s="28">
        <v>0</v>
      </c>
      <c r="Y122" s="28">
        <v>13800.680000000002</v>
      </c>
    </row>
    <row r="123" spans="1:25" ht="15" customHeight="1" x14ac:dyDescent="0.25">
      <c r="A123" s="8" t="s">
        <v>146</v>
      </c>
      <c r="B123" s="8" t="s">
        <v>153</v>
      </c>
      <c r="C123" s="28">
        <v>0</v>
      </c>
      <c r="D123" s="28">
        <v>0</v>
      </c>
      <c r="E123" s="28">
        <v>-4047.89</v>
      </c>
      <c r="F123" s="28">
        <v>0</v>
      </c>
      <c r="G123" s="28">
        <v>0</v>
      </c>
      <c r="H123" s="28">
        <v>-6589.66</v>
      </c>
      <c r="I123" s="28">
        <v>0</v>
      </c>
      <c r="J123" s="28">
        <v>0</v>
      </c>
      <c r="K123" s="28">
        <v>-51092.579999999994</v>
      </c>
      <c r="L123" s="28">
        <v>0</v>
      </c>
      <c r="M123" s="28">
        <v>-8287.51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-415.03</v>
      </c>
      <c r="V123" s="28">
        <v>0</v>
      </c>
      <c r="W123" s="28">
        <v>0</v>
      </c>
      <c r="X123" s="28">
        <v>0</v>
      </c>
      <c r="Y123" s="28">
        <v>0</v>
      </c>
    </row>
    <row r="124" spans="1:25" ht="15" customHeight="1" x14ac:dyDescent="0.25">
      <c r="A124" s="8" t="s">
        <v>147</v>
      </c>
      <c r="B124" s="8" t="s">
        <v>153</v>
      </c>
      <c r="C124" s="28">
        <v>14398.999999999998</v>
      </c>
      <c r="D124" s="28">
        <v>0</v>
      </c>
      <c r="E124" s="28">
        <v>-3104.64</v>
      </c>
      <c r="F124" s="28">
        <v>8352</v>
      </c>
      <c r="G124" s="28">
        <v>12410</v>
      </c>
      <c r="H124" s="28">
        <v>185198.08999999991</v>
      </c>
      <c r="I124" s="28">
        <v>0</v>
      </c>
      <c r="J124" s="28">
        <v>0</v>
      </c>
      <c r="K124" s="28">
        <v>272025.59999999992</v>
      </c>
      <c r="L124" s="28">
        <v>0</v>
      </c>
      <c r="M124" s="28">
        <v>176525.5799999999</v>
      </c>
      <c r="N124" s="28">
        <v>31938.06</v>
      </c>
      <c r="O124" s="28">
        <v>-2044.3500000000008</v>
      </c>
      <c r="P124" s="28">
        <v>0</v>
      </c>
      <c r="Q124" s="28">
        <v>17395.840000000004</v>
      </c>
      <c r="R124" s="28">
        <v>88894.189999999944</v>
      </c>
      <c r="S124" s="28">
        <v>19928.370000000003</v>
      </c>
      <c r="T124" s="28">
        <v>0</v>
      </c>
      <c r="U124" s="28">
        <v>60609.010000000017</v>
      </c>
      <c r="V124" s="28">
        <v>95512.339999999938</v>
      </c>
      <c r="W124" s="28">
        <v>11752.509999999998</v>
      </c>
      <c r="X124" s="28">
        <v>251.0200000000001</v>
      </c>
      <c r="Y124" s="28">
        <v>80203.969999999958</v>
      </c>
    </row>
    <row r="125" spans="1:25" ht="15" customHeight="1" x14ac:dyDescent="0.25">
      <c r="A125" s="8" t="s">
        <v>148</v>
      </c>
      <c r="B125" s="8" t="s">
        <v>153</v>
      </c>
      <c r="C125" s="28">
        <v>0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320.32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</row>
    <row r="126" spans="1:25" ht="15" customHeight="1" x14ac:dyDescent="0.25">
      <c r="A126" s="8" t="s">
        <v>149</v>
      </c>
      <c r="B126" s="8" t="s">
        <v>153</v>
      </c>
      <c r="C126" s="28">
        <v>1720.1799999999998</v>
      </c>
      <c r="D126" s="28">
        <v>0</v>
      </c>
      <c r="E126" s="28">
        <v>-1849.85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-380.38</v>
      </c>
      <c r="L126" s="28">
        <v>0</v>
      </c>
      <c r="M126" s="28">
        <v>11533.37</v>
      </c>
      <c r="N126" s="28">
        <v>7233.38</v>
      </c>
      <c r="O126" s="28">
        <v>7370.4400000000005</v>
      </c>
      <c r="P126" s="28">
        <v>0</v>
      </c>
      <c r="Q126" s="28">
        <v>2217.6</v>
      </c>
      <c r="R126" s="28">
        <v>1268.96</v>
      </c>
      <c r="S126" s="28">
        <v>-92.4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5351.5</v>
      </c>
    </row>
    <row r="127" spans="1:25" ht="15" customHeight="1" x14ac:dyDescent="0.25">
      <c r="A127" s="8" t="s">
        <v>150</v>
      </c>
      <c r="B127" s="8" t="s">
        <v>153</v>
      </c>
      <c r="C127" s="28">
        <v>2255.33</v>
      </c>
      <c r="D127" s="28">
        <v>0</v>
      </c>
      <c r="E127" s="28">
        <v>0</v>
      </c>
      <c r="F127" s="28">
        <v>0</v>
      </c>
      <c r="G127" s="28">
        <v>0</v>
      </c>
      <c r="H127" s="28">
        <v>987.1400000000001</v>
      </c>
      <c r="I127" s="28">
        <v>0</v>
      </c>
      <c r="J127" s="28">
        <v>0</v>
      </c>
      <c r="K127" s="28">
        <v>-16556.080000000002</v>
      </c>
      <c r="L127" s="28">
        <v>0</v>
      </c>
      <c r="M127" s="28">
        <v>102682.57999999999</v>
      </c>
      <c r="N127" s="28">
        <v>0</v>
      </c>
      <c r="O127" s="28">
        <v>0</v>
      </c>
      <c r="P127" s="28">
        <v>0</v>
      </c>
      <c r="Q127" s="28">
        <v>0</v>
      </c>
      <c r="R127" s="28">
        <v>1072.6100000000001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</row>
    <row r="128" spans="1:25" ht="15" customHeight="1" x14ac:dyDescent="0.25">
      <c r="A128" s="8" t="s">
        <v>151</v>
      </c>
      <c r="B128" s="8" t="s">
        <v>153</v>
      </c>
      <c r="C128" s="28">
        <v>0</v>
      </c>
      <c r="D128" s="28">
        <v>0</v>
      </c>
      <c r="E128" s="28">
        <v>10718.4</v>
      </c>
      <c r="F128" s="28">
        <v>0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2679.6</v>
      </c>
      <c r="N128" s="28">
        <v>2679.6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</row>
    <row r="129" spans="1:25" ht="15" customHeight="1" x14ac:dyDescent="0.25">
      <c r="A129" s="8" t="s">
        <v>152</v>
      </c>
      <c r="B129" s="8" t="s">
        <v>153</v>
      </c>
      <c r="C129" s="28">
        <v>49544.490000000005</v>
      </c>
      <c r="D129" s="28">
        <v>0</v>
      </c>
      <c r="E129" s="28">
        <v>112586.32</v>
      </c>
      <c r="F129" s="28">
        <v>0</v>
      </c>
      <c r="G129" s="28">
        <v>0</v>
      </c>
      <c r="H129" s="28">
        <v>148807.12000000005</v>
      </c>
      <c r="I129" s="28">
        <v>0</v>
      </c>
      <c r="J129" s="28">
        <v>0</v>
      </c>
      <c r="K129" s="28">
        <v>349528.26999999996</v>
      </c>
      <c r="L129" s="28">
        <v>0</v>
      </c>
      <c r="M129" s="28">
        <v>422225.92999999993</v>
      </c>
      <c r="N129" s="28">
        <v>30787.68</v>
      </c>
      <c r="O129" s="28">
        <v>33239.360000000001</v>
      </c>
      <c r="P129" s="28">
        <v>0</v>
      </c>
      <c r="Q129" s="28">
        <v>14365.120000000003</v>
      </c>
      <c r="R129" s="28">
        <v>163387.84000000003</v>
      </c>
      <c r="S129" s="28">
        <v>14488.32</v>
      </c>
      <c r="T129" s="28">
        <v>9960.7200000000012</v>
      </c>
      <c r="U129" s="28">
        <v>110124.19000000003</v>
      </c>
      <c r="V129" s="28">
        <v>49218.400000000016</v>
      </c>
      <c r="W129" s="28">
        <v>19317.760000000002</v>
      </c>
      <c r="X129" s="28">
        <v>2772</v>
      </c>
      <c r="Y129" s="28">
        <v>116911.87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C0BF-08B3-43B8-A22C-57BC787A8700}">
  <dimension ref="A1:M103"/>
  <sheetViews>
    <sheetView workbookViewId="0">
      <selection activeCell="F10" sqref="F10"/>
    </sheetView>
  </sheetViews>
  <sheetFormatPr baseColWidth="10" defaultRowHeight="15" x14ac:dyDescent="0.25"/>
  <cols>
    <col min="1" max="1" width="23.28515625" bestFit="1" customWidth="1"/>
    <col min="2" max="2" width="5" bestFit="1" customWidth="1"/>
    <col min="3" max="3" width="33.28515625" bestFit="1" customWidth="1"/>
    <col min="4" max="4" width="30.28515625" bestFit="1" customWidth="1"/>
    <col min="5" max="5" width="32.28515625" bestFit="1" customWidth="1"/>
    <col min="6" max="6" width="33.28515625" bestFit="1" customWidth="1"/>
    <col min="7" max="7" width="30.7109375" bestFit="1" customWidth="1"/>
    <col min="8" max="8" width="28.28515625" bestFit="1" customWidth="1"/>
    <col min="9" max="9" width="31.140625" bestFit="1" customWidth="1"/>
    <col min="10" max="10" width="36.42578125" bestFit="1" customWidth="1"/>
    <col min="11" max="12" width="33.140625" bestFit="1" customWidth="1"/>
    <col min="13" max="13" width="28.42578125" bestFit="1" customWidth="1"/>
  </cols>
  <sheetData>
    <row r="1" spans="1:13" x14ac:dyDescent="0.25">
      <c r="A1" s="1" t="s">
        <v>26</v>
      </c>
      <c r="B1" s="1" t="s">
        <v>25</v>
      </c>
      <c r="C1" s="8" t="s">
        <v>160</v>
      </c>
      <c r="D1" s="8" t="s">
        <v>159</v>
      </c>
      <c r="E1" s="8" t="s">
        <v>171</v>
      </c>
      <c r="F1" s="8" t="s">
        <v>158</v>
      </c>
      <c r="G1" s="8" t="s">
        <v>172</v>
      </c>
      <c r="H1" s="8" t="s">
        <v>156</v>
      </c>
      <c r="I1" s="8" t="s">
        <v>173</v>
      </c>
      <c r="J1" s="8" t="s">
        <v>174</v>
      </c>
      <c r="K1" s="8" t="s">
        <v>175</v>
      </c>
      <c r="L1" s="8" t="s">
        <v>176</v>
      </c>
      <c r="M1" s="8" t="s">
        <v>157</v>
      </c>
    </row>
    <row r="2" spans="1:13" ht="15.75" x14ac:dyDescent="0.25">
      <c r="A2" s="8" t="s">
        <v>28</v>
      </c>
      <c r="B2" s="8" t="s">
        <v>153</v>
      </c>
      <c r="C2" s="4">
        <v>0</v>
      </c>
      <c r="D2" s="4">
        <v>4698.8999999999996</v>
      </c>
      <c r="E2" s="4">
        <v>0</v>
      </c>
      <c r="F2" s="4">
        <v>0</v>
      </c>
      <c r="G2" s="4">
        <v>-467</v>
      </c>
      <c r="H2" s="4">
        <v>0</v>
      </c>
      <c r="I2" s="4">
        <v>1634.4</v>
      </c>
      <c r="J2" s="4">
        <v>805.49999999999977</v>
      </c>
      <c r="K2" s="4">
        <v>0</v>
      </c>
      <c r="L2" s="4">
        <v>0</v>
      </c>
      <c r="M2" s="4">
        <v>37.150000000000091</v>
      </c>
    </row>
    <row r="3" spans="1:13" ht="15.75" x14ac:dyDescent="0.25">
      <c r="A3" s="8" t="s">
        <v>29</v>
      </c>
      <c r="B3" s="8" t="s">
        <v>153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4769</v>
      </c>
      <c r="I3" s="4">
        <v>1940.4</v>
      </c>
      <c r="J3" s="4">
        <v>3466.8</v>
      </c>
      <c r="K3" s="4">
        <v>0</v>
      </c>
      <c r="L3" s="4">
        <v>0</v>
      </c>
      <c r="M3" s="4">
        <v>20100.05</v>
      </c>
    </row>
    <row r="4" spans="1:13" ht="15.75" x14ac:dyDescent="0.25">
      <c r="A4" s="8" t="s">
        <v>31</v>
      </c>
      <c r="B4" s="8" t="s">
        <v>153</v>
      </c>
      <c r="C4" s="4">
        <v>0</v>
      </c>
      <c r="D4" s="4">
        <v>0</v>
      </c>
      <c r="E4" s="4">
        <v>0</v>
      </c>
      <c r="F4" s="4">
        <v>0</v>
      </c>
      <c r="G4" s="4">
        <v>460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ht="15.75" x14ac:dyDescent="0.25">
      <c r="A5" s="8" t="s">
        <v>32</v>
      </c>
      <c r="B5" s="8" t="s">
        <v>153</v>
      </c>
      <c r="C5" s="4">
        <v>0</v>
      </c>
      <c r="D5" s="4">
        <v>4039.2</v>
      </c>
      <c r="E5" s="4">
        <v>0</v>
      </c>
      <c r="F5" s="4">
        <v>0</v>
      </c>
      <c r="G5" s="4">
        <v>0</v>
      </c>
      <c r="H5" s="4">
        <v>1598.8500000000001</v>
      </c>
      <c r="I5" s="4">
        <v>504.9</v>
      </c>
      <c r="J5" s="4">
        <v>5553.9</v>
      </c>
      <c r="K5" s="4">
        <v>0</v>
      </c>
      <c r="L5" s="4">
        <v>0</v>
      </c>
      <c r="M5" s="4">
        <v>2131.8000000000002</v>
      </c>
    </row>
    <row r="6" spans="1:13" ht="15.75" x14ac:dyDescent="0.25">
      <c r="A6" s="8" t="s">
        <v>33</v>
      </c>
      <c r="B6" s="8" t="s">
        <v>153</v>
      </c>
      <c r="C6" s="4">
        <v>98867.45</v>
      </c>
      <c r="D6" s="4">
        <v>0</v>
      </c>
      <c r="E6" s="4">
        <v>41878.409999999996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ht="15.75" x14ac:dyDescent="0.25">
      <c r="A7" s="8" t="s">
        <v>34</v>
      </c>
      <c r="B7" s="8" t="s">
        <v>153</v>
      </c>
      <c r="C7" s="4">
        <v>0</v>
      </c>
      <c r="D7" s="4">
        <v>2478.6</v>
      </c>
      <c r="E7" s="4">
        <v>0</v>
      </c>
      <c r="F7" s="4">
        <v>0</v>
      </c>
      <c r="G7" s="4">
        <v>0</v>
      </c>
      <c r="H7" s="4">
        <v>748.8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ht="15.75" x14ac:dyDescent="0.25">
      <c r="A8" s="8" t="s">
        <v>35</v>
      </c>
      <c r="B8" s="8" t="s">
        <v>153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2133</v>
      </c>
      <c r="K8" s="4">
        <v>0</v>
      </c>
      <c r="L8" s="4">
        <v>0</v>
      </c>
      <c r="M8" s="4">
        <v>0</v>
      </c>
    </row>
    <row r="9" spans="1:13" ht="15.75" x14ac:dyDescent="0.25">
      <c r="A9" s="8" t="s">
        <v>36</v>
      </c>
      <c r="B9" s="8" t="s">
        <v>153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1573.1999999999998</v>
      </c>
      <c r="I9" s="4">
        <v>0</v>
      </c>
      <c r="J9" s="4">
        <v>3007.8</v>
      </c>
      <c r="K9" s="4">
        <v>0</v>
      </c>
      <c r="L9" s="4">
        <v>0</v>
      </c>
      <c r="M9" s="4">
        <v>0</v>
      </c>
    </row>
    <row r="10" spans="1:13" ht="15.75" x14ac:dyDescent="0.25">
      <c r="A10" s="8" t="s">
        <v>37</v>
      </c>
      <c r="B10" s="8" t="s">
        <v>153</v>
      </c>
      <c r="C10" s="4">
        <v>0</v>
      </c>
      <c r="D10" s="4">
        <v>10737.900000000001</v>
      </c>
      <c r="E10" s="4">
        <v>0</v>
      </c>
      <c r="F10" s="4">
        <v>0</v>
      </c>
      <c r="G10" s="4">
        <v>0</v>
      </c>
      <c r="H10" s="4">
        <v>6577.8</v>
      </c>
      <c r="I10" s="4">
        <v>0</v>
      </c>
      <c r="J10" s="4">
        <v>475.2</v>
      </c>
      <c r="K10" s="4">
        <v>0</v>
      </c>
      <c r="L10" s="4">
        <v>0</v>
      </c>
      <c r="M10" s="4">
        <v>5608.8</v>
      </c>
    </row>
    <row r="11" spans="1:13" ht="15.75" x14ac:dyDescent="0.25">
      <c r="A11" s="8" t="s">
        <v>38</v>
      </c>
      <c r="B11" s="8" t="s">
        <v>153</v>
      </c>
      <c r="C11" s="4">
        <v>0</v>
      </c>
      <c r="D11" s="4">
        <v>1485</v>
      </c>
      <c r="E11" s="4">
        <v>0</v>
      </c>
      <c r="F11" s="4">
        <v>0</v>
      </c>
      <c r="G11" s="4">
        <v>1000</v>
      </c>
      <c r="H11" s="4">
        <v>2648.6</v>
      </c>
      <c r="I11" s="4">
        <v>646</v>
      </c>
      <c r="J11" s="4">
        <v>594</v>
      </c>
      <c r="K11" s="4">
        <v>969</v>
      </c>
      <c r="L11" s="4">
        <v>0</v>
      </c>
      <c r="M11" s="4">
        <v>836</v>
      </c>
    </row>
    <row r="12" spans="1:13" ht="15.75" x14ac:dyDescent="0.25">
      <c r="A12" s="8" t="s">
        <v>39</v>
      </c>
      <c r="B12" s="8" t="s">
        <v>153</v>
      </c>
      <c r="C12" s="4">
        <v>0</v>
      </c>
      <c r="D12" s="4">
        <v>19729.59</v>
      </c>
      <c r="E12" s="4">
        <v>0</v>
      </c>
      <c r="F12" s="4">
        <v>0</v>
      </c>
      <c r="G12" s="4">
        <v>15036.48</v>
      </c>
      <c r="H12" s="4">
        <v>11073.900000000001</v>
      </c>
      <c r="I12" s="4">
        <v>268.19999999999993</v>
      </c>
      <c r="J12" s="4">
        <v>8118.9000000000005</v>
      </c>
      <c r="K12" s="4">
        <v>5662.8</v>
      </c>
      <c r="L12" s="4">
        <v>0</v>
      </c>
      <c r="M12" s="4">
        <v>17427.599999999999</v>
      </c>
    </row>
    <row r="13" spans="1:13" ht="15.75" x14ac:dyDescent="0.25">
      <c r="A13" s="8" t="s">
        <v>41</v>
      </c>
      <c r="B13" s="8" t="s">
        <v>153</v>
      </c>
      <c r="C13" s="4">
        <v>0</v>
      </c>
      <c r="D13" s="4">
        <v>2114.6999999999998</v>
      </c>
      <c r="E13" s="4">
        <v>0</v>
      </c>
      <c r="F13" s="4">
        <v>0</v>
      </c>
      <c r="G13" s="4">
        <v>954</v>
      </c>
      <c r="H13" s="4">
        <v>2416.8000000000002</v>
      </c>
      <c r="I13" s="4">
        <v>5346</v>
      </c>
      <c r="J13" s="4">
        <v>11098.8</v>
      </c>
      <c r="K13" s="4">
        <v>6477.3</v>
      </c>
      <c r="L13" s="4">
        <v>0</v>
      </c>
      <c r="M13" s="4">
        <v>6931.1999999999989</v>
      </c>
    </row>
    <row r="14" spans="1:13" ht="15.75" x14ac:dyDescent="0.25">
      <c r="A14" s="8" t="s">
        <v>42</v>
      </c>
      <c r="B14" s="8" t="s">
        <v>153</v>
      </c>
      <c r="C14" s="4">
        <v>0</v>
      </c>
      <c r="D14" s="4">
        <v>0</v>
      </c>
      <c r="E14" s="4">
        <v>0</v>
      </c>
      <c r="F14" s="4">
        <v>8867.2300000000014</v>
      </c>
      <c r="G14" s="4">
        <v>436.80000000000007</v>
      </c>
      <c r="H14" s="4">
        <v>2041.1999999999998</v>
      </c>
      <c r="I14" s="4">
        <v>0</v>
      </c>
      <c r="J14" s="4">
        <v>2404.8000000000002</v>
      </c>
      <c r="K14" s="4">
        <v>21176.1</v>
      </c>
      <c r="L14" s="4">
        <v>0</v>
      </c>
      <c r="M14" s="4">
        <v>3923.5</v>
      </c>
    </row>
    <row r="15" spans="1:13" ht="15.75" x14ac:dyDescent="0.25">
      <c r="A15" s="8" t="s">
        <v>43</v>
      </c>
      <c r="B15" s="8" t="s">
        <v>153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3136.5</v>
      </c>
      <c r="K15" s="4">
        <v>0</v>
      </c>
      <c r="L15" s="4">
        <v>0</v>
      </c>
      <c r="M15" s="4">
        <v>0</v>
      </c>
    </row>
    <row r="16" spans="1:13" ht="15.75" x14ac:dyDescent="0.25">
      <c r="A16" s="8" t="s">
        <v>44</v>
      </c>
      <c r="B16" s="8" t="s">
        <v>153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718.2</v>
      </c>
      <c r="J16" s="4">
        <v>2921.4</v>
      </c>
      <c r="K16" s="4">
        <v>0</v>
      </c>
      <c r="L16" s="4">
        <v>0</v>
      </c>
      <c r="M16" s="4">
        <v>0</v>
      </c>
    </row>
    <row r="17" spans="1:13" ht="15.75" x14ac:dyDescent="0.25">
      <c r="A17" s="8" t="s">
        <v>45</v>
      </c>
      <c r="B17" s="8" t="s">
        <v>153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2314.1999999999998</v>
      </c>
      <c r="J17" s="4">
        <v>6016.5</v>
      </c>
      <c r="K17" s="4">
        <v>8012.6999999999989</v>
      </c>
      <c r="L17" s="4">
        <v>0</v>
      </c>
      <c r="M17" s="4">
        <v>0</v>
      </c>
    </row>
    <row r="18" spans="1:13" ht="15.75" x14ac:dyDescent="0.25">
      <c r="A18" s="8" t="s">
        <v>46</v>
      </c>
      <c r="B18" s="8" t="s">
        <v>153</v>
      </c>
      <c r="C18" s="4">
        <v>0</v>
      </c>
      <c r="D18" s="4">
        <v>1238.8000000000002</v>
      </c>
      <c r="E18" s="4">
        <v>0</v>
      </c>
      <c r="F18" s="4">
        <v>0</v>
      </c>
      <c r="G18" s="4">
        <v>0</v>
      </c>
      <c r="H18" s="4">
        <v>3145.9</v>
      </c>
      <c r="I18" s="4">
        <v>0</v>
      </c>
      <c r="J18" s="4">
        <v>0</v>
      </c>
      <c r="K18" s="4">
        <v>0</v>
      </c>
      <c r="L18" s="4">
        <v>0</v>
      </c>
      <c r="M18" s="4">
        <v>2999.2000000000003</v>
      </c>
    </row>
    <row r="19" spans="1:13" ht="15.75" x14ac:dyDescent="0.25">
      <c r="A19" s="8" t="s">
        <v>47</v>
      </c>
      <c r="B19" s="8" t="s">
        <v>153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976.5</v>
      </c>
      <c r="K19" s="4">
        <v>0</v>
      </c>
      <c r="L19" s="4">
        <v>0</v>
      </c>
      <c r="M19" s="4">
        <v>0</v>
      </c>
    </row>
    <row r="20" spans="1:13" ht="15.75" x14ac:dyDescent="0.25">
      <c r="A20" s="8" t="s">
        <v>48</v>
      </c>
      <c r="B20" s="8" t="s">
        <v>153</v>
      </c>
      <c r="C20" s="4">
        <v>15930</v>
      </c>
      <c r="D20" s="4">
        <v>0</v>
      </c>
      <c r="E20" s="4">
        <v>0</v>
      </c>
      <c r="F20" s="4">
        <v>0</v>
      </c>
      <c r="G20" s="4">
        <v>1500</v>
      </c>
      <c r="H20" s="4">
        <v>0</v>
      </c>
      <c r="I20" s="4">
        <v>0</v>
      </c>
      <c r="J20" s="4">
        <v>0</v>
      </c>
      <c r="K20" s="4">
        <v>19440</v>
      </c>
      <c r="L20" s="4">
        <v>0</v>
      </c>
      <c r="M20" s="4">
        <v>0</v>
      </c>
    </row>
    <row r="21" spans="1:13" ht="15.75" x14ac:dyDescent="0.25">
      <c r="A21" s="8" t="s">
        <v>49</v>
      </c>
      <c r="B21" s="8" t="s">
        <v>153</v>
      </c>
      <c r="C21" s="4">
        <v>0</v>
      </c>
      <c r="D21" s="4">
        <v>3009.6</v>
      </c>
      <c r="E21" s="4">
        <v>0</v>
      </c>
      <c r="F21" s="4">
        <v>0</v>
      </c>
      <c r="G21" s="4">
        <v>4752</v>
      </c>
      <c r="H21" s="4">
        <v>0</v>
      </c>
      <c r="I21" s="4">
        <v>0</v>
      </c>
      <c r="J21" s="4">
        <v>4395.6000000000004</v>
      </c>
      <c r="K21" s="4">
        <v>0</v>
      </c>
      <c r="L21" s="4">
        <v>0</v>
      </c>
      <c r="M21" s="4">
        <v>0</v>
      </c>
    </row>
    <row r="22" spans="1:13" ht="15.75" x14ac:dyDescent="0.25">
      <c r="A22" s="8" t="s">
        <v>50</v>
      </c>
      <c r="B22" s="8" t="s">
        <v>153</v>
      </c>
      <c r="C22" s="4">
        <v>4776.4800000000005</v>
      </c>
      <c r="D22" s="4">
        <v>1431</v>
      </c>
      <c r="E22" s="4">
        <v>0</v>
      </c>
      <c r="F22" s="4">
        <v>4129.82</v>
      </c>
      <c r="G22" s="4">
        <v>530</v>
      </c>
      <c r="H22" s="4">
        <v>76318.199999999983</v>
      </c>
      <c r="I22" s="4">
        <v>1728</v>
      </c>
      <c r="J22" s="4">
        <v>2462.3999999999996</v>
      </c>
      <c r="K22" s="4">
        <v>2008.8</v>
      </c>
      <c r="L22" s="4">
        <v>0</v>
      </c>
      <c r="M22" s="4">
        <v>129160.29</v>
      </c>
    </row>
    <row r="23" spans="1:13" ht="15.75" x14ac:dyDescent="0.25">
      <c r="A23" s="8" t="s">
        <v>51</v>
      </c>
      <c r="B23" s="8" t="s">
        <v>153</v>
      </c>
      <c r="C23" s="4">
        <v>0</v>
      </c>
      <c r="D23" s="4">
        <v>3144.6</v>
      </c>
      <c r="E23" s="4">
        <v>0</v>
      </c>
      <c r="F23" s="4">
        <v>0</v>
      </c>
      <c r="G23" s="4">
        <v>476</v>
      </c>
      <c r="H23" s="4">
        <v>0</v>
      </c>
      <c r="I23" s="4">
        <v>4724.3500000000004</v>
      </c>
      <c r="J23" s="4">
        <v>6180.3</v>
      </c>
      <c r="K23" s="4">
        <v>5623.5000000000009</v>
      </c>
      <c r="L23" s="4">
        <v>0</v>
      </c>
      <c r="M23" s="4">
        <v>0</v>
      </c>
    </row>
    <row r="24" spans="1:13" ht="15.75" x14ac:dyDescent="0.25">
      <c r="A24" s="8" t="s">
        <v>52</v>
      </c>
      <c r="B24" s="8" t="s">
        <v>153</v>
      </c>
      <c r="C24" s="4">
        <v>0</v>
      </c>
      <c r="D24" s="4">
        <v>24136</v>
      </c>
      <c r="E24" s="4">
        <v>0</v>
      </c>
      <c r="F24" s="4">
        <v>0</v>
      </c>
      <c r="G24" s="4">
        <v>-1078</v>
      </c>
      <c r="H24" s="4">
        <v>0</v>
      </c>
      <c r="I24" s="4">
        <v>798</v>
      </c>
      <c r="J24" s="4">
        <v>1134</v>
      </c>
      <c r="K24" s="4">
        <v>2058</v>
      </c>
      <c r="L24" s="4">
        <v>1680</v>
      </c>
      <c r="M24" s="4">
        <v>5040</v>
      </c>
    </row>
    <row r="25" spans="1:13" ht="15.75" x14ac:dyDescent="0.25">
      <c r="A25" s="8" t="s">
        <v>53</v>
      </c>
      <c r="B25" s="8" t="s">
        <v>153</v>
      </c>
      <c r="C25" s="4">
        <v>0</v>
      </c>
      <c r="D25" s="4">
        <v>4033.8</v>
      </c>
      <c r="E25" s="4">
        <v>0</v>
      </c>
      <c r="F25" s="4">
        <v>0</v>
      </c>
      <c r="G25" s="4">
        <v>482</v>
      </c>
      <c r="H25" s="4">
        <v>-253</v>
      </c>
      <c r="I25" s="4">
        <v>910.8</v>
      </c>
      <c r="J25" s="4">
        <v>1301.4000000000001</v>
      </c>
      <c r="K25" s="4">
        <v>0</v>
      </c>
      <c r="L25" s="4">
        <v>0</v>
      </c>
      <c r="M25" s="4">
        <v>0</v>
      </c>
    </row>
    <row r="26" spans="1:13" ht="15.75" x14ac:dyDescent="0.25">
      <c r="A26" s="8" t="s">
        <v>54</v>
      </c>
      <c r="B26" s="8" t="s">
        <v>153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1559.9</v>
      </c>
      <c r="I26" s="4">
        <v>2913.3</v>
      </c>
      <c r="J26" s="4">
        <v>8307</v>
      </c>
      <c r="K26" s="4">
        <v>2592</v>
      </c>
      <c r="L26" s="4">
        <v>0</v>
      </c>
      <c r="M26" s="4">
        <v>1005.0999999999999</v>
      </c>
    </row>
    <row r="27" spans="1:13" ht="15.75" x14ac:dyDescent="0.25">
      <c r="A27" s="8" t="s">
        <v>55</v>
      </c>
      <c r="B27" s="8" t="s">
        <v>153</v>
      </c>
      <c r="C27" s="4">
        <v>0</v>
      </c>
      <c r="D27" s="4">
        <v>439.85</v>
      </c>
      <c r="E27" s="4">
        <v>0</v>
      </c>
      <c r="F27" s="4">
        <v>0</v>
      </c>
      <c r="G27" s="4">
        <v>0</v>
      </c>
      <c r="H27" s="4">
        <v>9160.7999999999993</v>
      </c>
      <c r="I27" s="4">
        <v>0</v>
      </c>
      <c r="J27" s="4">
        <v>0</v>
      </c>
      <c r="K27" s="4">
        <v>2926.8</v>
      </c>
      <c r="L27" s="4">
        <v>0</v>
      </c>
      <c r="M27" s="4">
        <v>7923.95</v>
      </c>
    </row>
    <row r="28" spans="1:13" ht="15.75" x14ac:dyDescent="0.25">
      <c r="A28" s="8" t="s">
        <v>56</v>
      </c>
      <c r="B28" s="8" t="s">
        <v>153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10107.949999999999</v>
      </c>
      <c r="I28" s="4">
        <v>0</v>
      </c>
      <c r="J28" s="4">
        <v>2710.8</v>
      </c>
      <c r="K28" s="4">
        <v>0</v>
      </c>
      <c r="L28" s="4">
        <v>0</v>
      </c>
      <c r="M28" s="4">
        <v>9927.5</v>
      </c>
    </row>
    <row r="29" spans="1:13" ht="15.75" x14ac:dyDescent="0.25">
      <c r="A29" s="8" t="s">
        <v>58</v>
      </c>
      <c r="B29" s="8" t="s">
        <v>153</v>
      </c>
      <c r="C29" s="4">
        <v>0</v>
      </c>
      <c r="D29" s="4">
        <v>0</v>
      </c>
      <c r="E29" s="4">
        <v>0</v>
      </c>
      <c r="F29" s="4">
        <v>2421.0699999999997</v>
      </c>
      <c r="G29" s="4">
        <v>4785.84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ht="15.75" x14ac:dyDescent="0.25">
      <c r="A30" s="8" t="s">
        <v>62</v>
      </c>
      <c r="B30" s="8" t="s">
        <v>153</v>
      </c>
      <c r="C30" s="4">
        <v>1927.8</v>
      </c>
      <c r="D30" s="4">
        <v>0</v>
      </c>
      <c r="E30" s="4">
        <v>0</v>
      </c>
      <c r="F30" s="4">
        <v>0</v>
      </c>
      <c r="G30" s="4">
        <v>6854</v>
      </c>
      <c r="H30" s="4">
        <v>5580</v>
      </c>
      <c r="I30" s="4">
        <v>950.4</v>
      </c>
      <c r="J30" s="4">
        <v>2799.9</v>
      </c>
      <c r="K30" s="4">
        <v>0</v>
      </c>
      <c r="L30" s="4">
        <v>1890</v>
      </c>
      <c r="M30" s="4">
        <v>3276</v>
      </c>
    </row>
    <row r="31" spans="1:13" ht="15.75" x14ac:dyDescent="0.25">
      <c r="A31" s="8" t="s">
        <v>63</v>
      </c>
      <c r="B31" s="8" t="s">
        <v>153</v>
      </c>
      <c r="C31" s="4">
        <v>22300.600000000002</v>
      </c>
      <c r="D31" s="4">
        <v>6679.4400000000005</v>
      </c>
      <c r="E31" s="4">
        <v>0</v>
      </c>
      <c r="F31" s="4">
        <v>2555.0899999999997</v>
      </c>
      <c r="G31" s="4">
        <v>0</v>
      </c>
      <c r="H31" s="4">
        <v>23216.9</v>
      </c>
      <c r="I31" s="4">
        <v>0</v>
      </c>
      <c r="J31" s="4">
        <v>0</v>
      </c>
      <c r="K31" s="4">
        <v>1719.9</v>
      </c>
      <c r="L31" s="4">
        <v>17670</v>
      </c>
      <c r="M31" s="4">
        <v>43438.549999999996</v>
      </c>
    </row>
    <row r="32" spans="1:13" ht="15.75" x14ac:dyDescent="0.25">
      <c r="A32" s="8" t="s">
        <v>64</v>
      </c>
      <c r="B32" s="8" t="s">
        <v>153</v>
      </c>
      <c r="C32" s="4">
        <v>0</v>
      </c>
      <c r="D32" s="4">
        <v>4255.92</v>
      </c>
      <c r="E32" s="4">
        <v>0</v>
      </c>
      <c r="F32" s="4">
        <v>0</v>
      </c>
      <c r="G32" s="4">
        <v>0</v>
      </c>
      <c r="H32" s="4">
        <v>4678.75</v>
      </c>
      <c r="I32" s="4">
        <v>0</v>
      </c>
      <c r="J32" s="4">
        <v>2998.8</v>
      </c>
      <c r="K32" s="4">
        <v>0</v>
      </c>
      <c r="L32" s="4">
        <v>3368.7</v>
      </c>
      <c r="M32" s="4">
        <v>10778.05</v>
      </c>
    </row>
    <row r="33" spans="1:13" ht="15.75" x14ac:dyDescent="0.25">
      <c r="A33" s="8" t="s">
        <v>67</v>
      </c>
      <c r="B33" s="8" t="s">
        <v>153</v>
      </c>
      <c r="C33" s="4">
        <v>0</v>
      </c>
      <c r="D33" s="4">
        <v>-2796.8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ht="15.75" x14ac:dyDescent="0.25">
      <c r="A34" s="8" t="s">
        <v>68</v>
      </c>
      <c r="B34" s="8" t="s">
        <v>153</v>
      </c>
      <c r="C34" s="4">
        <v>0</v>
      </c>
      <c r="D34" s="4">
        <v>0</v>
      </c>
      <c r="E34" s="4">
        <v>0</v>
      </c>
      <c r="F34" s="4">
        <v>0</v>
      </c>
      <c r="G34" s="4">
        <v>566</v>
      </c>
      <c r="H34" s="4">
        <v>1577</v>
      </c>
      <c r="I34" s="4">
        <v>0</v>
      </c>
      <c r="J34" s="4">
        <v>0</v>
      </c>
      <c r="K34" s="4">
        <v>0</v>
      </c>
      <c r="L34" s="4">
        <v>0</v>
      </c>
      <c r="M34" s="4">
        <v>2595.3999999999996</v>
      </c>
    </row>
    <row r="35" spans="1:13" ht="15.75" x14ac:dyDescent="0.25">
      <c r="A35" s="8" t="s">
        <v>71</v>
      </c>
      <c r="B35" s="8" t="s">
        <v>153</v>
      </c>
      <c r="C35" s="4">
        <v>0</v>
      </c>
      <c r="D35" s="4">
        <v>3709.98</v>
      </c>
      <c r="E35" s="4">
        <v>0</v>
      </c>
      <c r="F35" s="4">
        <v>564.29999999999995</v>
      </c>
      <c r="G35" s="4">
        <v>0</v>
      </c>
      <c r="H35" s="4">
        <v>256.5</v>
      </c>
      <c r="I35" s="4">
        <v>3544.2</v>
      </c>
      <c r="J35" s="4">
        <v>534.6</v>
      </c>
      <c r="K35" s="4">
        <v>1504.8</v>
      </c>
      <c r="L35" s="4">
        <v>0</v>
      </c>
      <c r="M35" s="4">
        <v>0</v>
      </c>
    </row>
    <row r="36" spans="1:13" ht="15.75" x14ac:dyDescent="0.25">
      <c r="A36" s="8" t="s">
        <v>73</v>
      </c>
      <c r="B36" s="8" t="s">
        <v>153</v>
      </c>
      <c r="C36" s="4">
        <v>0</v>
      </c>
      <c r="D36" s="4">
        <v>0</v>
      </c>
      <c r="E36" s="4">
        <v>0</v>
      </c>
      <c r="F36" s="4">
        <v>0</v>
      </c>
      <c r="G36" s="4">
        <v>2826.24</v>
      </c>
      <c r="H36" s="4">
        <v>0</v>
      </c>
      <c r="I36" s="4">
        <v>0</v>
      </c>
      <c r="J36" s="4">
        <v>1776.6</v>
      </c>
      <c r="K36" s="4">
        <v>0</v>
      </c>
      <c r="L36" s="4">
        <v>0</v>
      </c>
      <c r="M36" s="4">
        <v>0</v>
      </c>
    </row>
    <row r="37" spans="1:13" ht="15.75" x14ac:dyDescent="0.25">
      <c r="A37" s="8" t="s">
        <v>74</v>
      </c>
      <c r="B37" s="8" t="s">
        <v>153</v>
      </c>
      <c r="C37" s="4">
        <v>0</v>
      </c>
      <c r="D37" s="4">
        <v>8458.4</v>
      </c>
      <c r="E37" s="4">
        <v>0</v>
      </c>
      <c r="F37" s="4">
        <v>0</v>
      </c>
      <c r="G37" s="4">
        <v>0</v>
      </c>
      <c r="H37" s="4">
        <v>2973.5</v>
      </c>
      <c r="I37" s="4">
        <v>0</v>
      </c>
      <c r="J37" s="4">
        <v>8294.4</v>
      </c>
      <c r="K37" s="4">
        <v>0</v>
      </c>
      <c r="L37" s="4">
        <v>0</v>
      </c>
      <c r="M37" s="4">
        <v>2299</v>
      </c>
    </row>
    <row r="38" spans="1:13" ht="15.75" x14ac:dyDescent="0.25">
      <c r="A38" s="8" t="s">
        <v>75</v>
      </c>
      <c r="B38" s="8" t="s">
        <v>153</v>
      </c>
      <c r="C38" s="4">
        <v>-1620</v>
      </c>
      <c r="D38" s="4">
        <v>4507.2000000000007</v>
      </c>
      <c r="E38" s="4">
        <v>0</v>
      </c>
      <c r="F38" s="4">
        <v>0</v>
      </c>
      <c r="G38" s="4">
        <v>2278</v>
      </c>
      <c r="H38" s="4">
        <v>0</v>
      </c>
      <c r="I38" s="4">
        <v>2025</v>
      </c>
      <c r="J38" s="4">
        <v>4412.7</v>
      </c>
      <c r="K38" s="4">
        <v>0</v>
      </c>
      <c r="L38" s="4">
        <v>0</v>
      </c>
      <c r="M38" s="4">
        <v>0</v>
      </c>
    </row>
    <row r="39" spans="1:13" ht="15.75" x14ac:dyDescent="0.25">
      <c r="A39" s="8" t="s">
        <v>76</v>
      </c>
      <c r="B39" s="8" t="s">
        <v>153</v>
      </c>
      <c r="C39" s="4">
        <v>0</v>
      </c>
      <c r="D39" s="4">
        <v>0</v>
      </c>
      <c r="E39" s="4">
        <v>0</v>
      </c>
      <c r="F39" s="4">
        <v>0</v>
      </c>
      <c r="G39" s="4">
        <v>-424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ht="15.75" x14ac:dyDescent="0.25">
      <c r="A40" s="8" t="s">
        <v>77</v>
      </c>
      <c r="B40" s="8" t="s">
        <v>153</v>
      </c>
      <c r="C40" s="4">
        <v>10605.599999999999</v>
      </c>
      <c r="D40" s="4">
        <v>19865.130000000005</v>
      </c>
      <c r="E40" s="4">
        <v>0</v>
      </c>
      <c r="F40" s="4">
        <v>13460.880000000001</v>
      </c>
      <c r="G40" s="4">
        <v>2174.88</v>
      </c>
      <c r="H40" s="4">
        <v>85521.8</v>
      </c>
      <c r="I40" s="4">
        <v>804.6</v>
      </c>
      <c r="J40" s="4">
        <v>5259.6</v>
      </c>
      <c r="K40" s="4">
        <v>-16.200000000000045</v>
      </c>
      <c r="L40" s="4">
        <v>30620.7</v>
      </c>
      <c r="M40" s="4">
        <v>94362.27</v>
      </c>
    </row>
    <row r="41" spans="1:13" ht="15.75" x14ac:dyDescent="0.25">
      <c r="A41" s="8" t="s">
        <v>78</v>
      </c>
      <c r="B41" s="8" t="s">
        <v>153</v>
      </c>
      <c r="C41" s="4">
        <v>0</v>
      </c>
      <c r="D41" s="4">
        <v>2166</v>
      </c>
      <c r="E41" s="4">
        <v>0</v>
      </c>
      <c r="F41" s="4">
        <v>0</v>
      </c>
      <c r="G41" s="4">
        <v>0</v>
      </c>
      <c r="H41" s="4">
        <v>860.7</v>
      </c>
      <c r="I41" s="4">
        <v>532</v>
      </c>
      <c r="J41" s="4">
        <v>5787.9</v>
      </c>
      <c r="K41" s="4">
        <v>551</v>
      </c>
      <c r="L41" s="4">
        <v>0</v>
      </c>
      <c r="M41" s="4">
        <v>1679.6</v>
      </c>
    </row>
    <row r="42" spans="1:13" ht="15.75" x14ac:dyDescent="0.25">
      <c r="A42" s="8" t="s">
        <v>80</v>
      </c>
      <c r="B42" s="8" t="s">
        <v>153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1610</v>
      </c>
      <c r="L42" s="4">
        <v>0</v>
      </c>
      <c r="M42" s="4">
        <v>0</v>
      </c>
    </row>
    <row r="43" spans="1:13" ht="15.75" x14ac:dyDescent="0.25">
      <c r="A43" s="8" t="s">
        <v>81</v>
      </c>
      <c r="B43" s="8" t="s">
        <v>153</v>
      </c>
      <c r="C43" s="4">
        <v>0</v>
      </c>
      <c r="D43" s="4">
        <v>7593.6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672</v>
      </c>
      <c r="L43" s="4">
        <v>0</v>
      </c>
      <c r="M43" s="4">
        <v>0</v>
      </c>
    </row>
    <row r="44" spans="1:13" ht="15.75" x14ac:dyDescent="0.25">
      <c r="A44" s="8" t="s">
        <v>82</v>
      </c>
      <c r="B44" s="8" t="s">
        <v>153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2964</v>
      </c>
      <c r="I44" s="4">
        <v>0</v>
      </c>
      <c r="J44" s="4">
        <v>0</v>
      </c>
      <c r="K44" s="4">
        <v>0</v>
      </c>
      <c r="L44" s="4">
        <v>0</v>
      </c>
      <c r="M44" s="4">
        <v>-74.099999999999994</v>
      </c>
    </row>
    <row r="45" spans="1:13" ht="15.75" x14ac:dyDescent="0.25">
      <c r="A45" s="8" t="s">
        <v>83</v>
      </c>
      <c r="B45" s="8" t="s">
        <v>153</v>
      </c>
      <c r="C45" s="4">
        <v>0</v>
      </c>
      <c r="D45" s="4">
        <v>1512</v>
      </c>
      <c r="E45" s="4">
        <v>0</v>
      </c>
      <c r="F45" s="4">
        <v>0</v>
      </c>
      <c r="G45" s="4">
        <v>0</v>
      </c>
      <c r="H45" s="4">
        <v>0</v>
      </c>
      <c r="I45" s="4">
        <v>415.8</v>
      </c>
      <c r="J45" s="4">
        <v>756</v>
      </c>
      <c r="K45" s="4">
        <v>1512</v>
      </c>
      <c r="L45" s="4">
        <v>0</v>
      </c>
      <c r="M45" s="4">
        <v>0</v>
      </c>
    </row>
    <row r="46" spans="1:13" ht="15.75" x14ac:dyDescent="0.25">
      <c r="A46" s="8" t="s">
        <v>84</v>
      </c>
      <c r="B46" s="8" t="s">
        <v>153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963.9</v>
      </c>
      <c r="L46" s="4">
        <v>0</v>
      </c>
      <c r="M46" s="4">
        <v>0</v>
      </c>
    </row>
    <row r="47" spans="1:13" ht="15.75" x14ac:dyDescent="0.25">
      <c r="A47" s="8" t="s">
        <v>86</v>
      </c>
      <c r="B47" s="8" t="s">
        <v>153</v>
      </c>
      <c r="C47" s="4">
        <v>0</v>
      </c>
      <c r="D47" s="4">
        <v>2793</v>
      </c>
      <c r="E47" s="4">
        <v>0</v>
      </c>
      <c r="F47" s="4">
        <v>0</v>
      </c>
      <c r="G47" s="4">
        <v>0</v>
      </c>
      <c r="H47" s="4">
        <v>931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ht="15.75" x14ac:dyDescent="0.25">
      <c r="A48" s="8" t="s">
        <v>87</v>
      </c>
      <c r="B48" s="8" t="s">
        <v>153</v>
      </c>
      <c r="C48" s="4">
        <v>0</v>
      </c>
      <c r="D48" s="4">
        <v>2980.8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399.6</v>
      </c>
      <c r="L48" s="4">
        <v>0</v>
      </c>
      <c r="M48" s="4">
        <v>2691.9500000000003</v>
      </c>
    </row>
    <row r="49" spans="1:13" ht="15.75" x14ac:dyDescent="0.25">
      <c r="A49" s="8" t="s">
        <v>88</v>
      </c>
      <c r="B49" s="8" t="s">
        <v>153</v>
      </c>
      <c r="C49" s="4">
        <v>0</v>
      </c>
      <c r="D49" s="4">
        <v>39997.60000000002</v>
      </c>
      <c r="E49" s="4">
        <v>0</v>
      </c>
      <c r="F49" s="4">
        <v>4128.96</v>
      </c>
      <c r="G49" s="4">
        <v>603</v>
      </c>
      <c r="H49" s="4">
        <v>16952.75</v>
      </c>
      <c r="I49" s="4">
        <v>0</v>
      </c>
      <c r="J49" s="4">
        <v>9586.7999999999993</v>
      </c>
      <c r="K49" s="4">
        <v>11172.600000000002</v>
      </c>
      <c r="L49" s="4">
        <v>0</v>
      </c>
      <c r="M49" s="4">
        <v>16252.599999999995</v>
      </c>
    </row>
    <row r="50" spans="1:13" ht="15.75" x14ac:dyDescent="0.25">
      <c r="A50" s="8" t="s">
        <v>89</v>
      </c>
      <c r="B50" s="8" t="s">
        <v>153</v>
      </c>
      <c r="C50" s="4">
        <v>0</v>
      </c>
      <c r="D50" s="4">
        <v>1656</v>
      </c>
      <c r="E50" s="4">
        <v>0</v>
      </c>
      <c r="F50" s="4">
        <v>0</v>
      </c>
      <c r="G50" s="4">
        <v>736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</row>
    <row r="51" spans="1:13" ht="15.75" x14ac:dyDescent="0.25">
      <c r="A51" s="8" t="s">
        <v>90</v>
      </c>
      <c r="B51" s="8" t="s">
        <v>153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675</v>
      </c>
      <c r="K51" s="4">
        <v>0</v>
      </c>
      <c r="L51" s="4">
        <v>0</v>
      </c>
      <c r="M51" s="4">
        <v>0</v>
      </c>
    </row>
    <row r="52" spans="1:13" ht="15.75" x14ac:dyDescent="0.25">
      <c r="A52" s="8" t="s">
        <v>91</v>
      </c>
      <c r="B52" s="8" t="s">
        <v>153</v>
      </c>
      <c r="C52" s="4">
        <v>0</v>
      </c>
      <c r="D52" s="4">
        <v>20972.739999999998</v>
      </c>
      <c r="E52" s="4">
        <v>0</v>
      </c>
      <c r="F52" s="4">
        <v>0</v>
      </c>
      <c r="G52" s="4">
        <v>-367.45</v>
      </c>
      <c r="H52" s="4">
        <v>48371.150000000009</v>
      </c>
      <c r="I52" s="4">
        <v>1275.3400000000001</v>
      </c>
      <c r="J52" s="4">
        <v>14419.8</v>
      </c>
      <c r="K52" s="4">
        <v>5057.1000000000004</v>
      </c>
      <c r="L52" s="4">
        <v>0</v>
      </c>
      <c r="M52" s="4">
        <v>51974.6</v>
      </c>
    </row>
    <row r="53" spans="1:13" ht="15.75" x14ac:dyDescent="0.25">
      <c r="A53" s="8" t="s">
        <v>92</v>
      </c>
      <c r="B53" s="8" t="s">
        <v>153</v>
      </c>
      <c r="C53" s="4">
        <v>0</v>
      </c>
      <c r="D53" s="4">
        <v>2576</v>
      </c>
      <c r="E53" s="4">
        <v>0</v>
      </c>
      <c r="F53" s="4">
        <v>0</v>
      </c>
      <c r="G53" s="4">
        <v>2005.6</v>
      </c>
      <c r="H53" s="4">
        <v>1816.75</v>
      </c>
      <c r="I53" s="4">
        <v>0</v>
      </c>
      <c r="J53" s="4">
        <v>0</v>
      </c>
      <c r="K53" s="4">
        <v>0</v>
      </c>
      <c r="L53" s="4">
        <v>0</v>
      </c>
      <c r="M53" s="4">
        <v>6625</v>
      </c>
    </row>
    <row r="54" spans="1:13" ht="15.75" x14ac:dyDescent="0.25">
      <c r="A54" s="8" t="s">
        <v>93</v>
      </c>
      <c r="B54" s="8" t="s">
        <v>153</v>
      </c>
      <c r="C54" s="4">
        <v>0</v>
      </c>
      <c r="D54" s="4">
        <v>4560.5</v>
      </c>
      <c r="E54" s="4">
        <v>0</v>
      </c>
      <c r="F54" s="4">
        <v>194.03</v>
      </c>
      <c r="G54" s="4">
        <v>0</v>
      </c>
      <c r="H54" s="4">
        <v>-222.3</v>
      </c>
      <c r="I54" s="4">
        <v>1558</v>
      </c>
      <c r="J54" s="4">
        <v>4743</v>
      </c>
      <c r="K54" s="4">
        <v>10439.4</v>
      </c>
      <c r="L54" s="4">
        <v>9599.9</v>
      </c>
      <c r="M54" s="4">
        <v>6159.8</v>
      </c>
    </row>
    <row r="55" spans="1:13" ht="15.75" x14ac:dyDescent="0.25">
      <c r="A55" s="8" t="s">
        <v>94</v>
      </c>
      <c r="B55" s="8" t="s">
        <v>153</v>
      </c>
      <c r="C55" s="4">
        <v>0</v>
      </c>
      <c r="D55" s="4">
        <v>1449.6</v>
      </c>
      <c r="E55" s="4">
        <v>0</v>
      </c>
      <c r="F55" s="4">
        <v>0</v>
      </c>
      <c r="G55" s="4">
        <v>0</v>
      </c>
      <c r="H55" s="4">
        <v>4266</v>
      </c>
      <c r="I55" s="4">
        <v>0</v>
      </c>
      <c r="J55" s="4">
        <v>815.40000000000009</v>
      </c>
      <c r="K55" s="4">
        <v>0</v>
      </c>
      <c r="L55" s="4">
        <v>0</v>
      </c>
      <c r="M55" s="4">
        <v>0</v>
      </c>
    </row>
    <row r="56" spans="1:13" ht="15.75" x14ac:dyDescent="0.25">
      <c r="A56" s="8" t="s">
        <v>95</v>
      </c>
      <c r="B56" s="8" t="s">
        <v>153</v>
      </c>
      <c r="C56" s="4">
        <v>0</v>
      </c>
      <c r="D56" s="4">
        <v>-216.2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</row>
    <row r="57" spans="1:13" ht="15.75" x14ac:dyDescent="0.25">
      <c r="A57" s="8" t="s">
        <v>97</v>
      </c>
      <c r="B57" s="8" t="s">
        <v>153</v>
      </c>
      <c r="C57" s="4">
        <v>0</v>
      </c>
      <c r="D57" s="4">
        <v>53387</v>
      </c>
      <c r="E57" s="4">
        <v>0</v>
      </c>
      <c r="F57" s="4">
        <v>0</v>
      </c>
      <c r="G57" s="4">
        <v>4040</v>
      </c>
      <c r="H57" s="4">
        <v>25125.55</v>
      </c>
      <c r="I57" s="4">
        <v>6370.2</v>
      </c>
      <c r="J57" s="4">
        <v>45474.3</v>
      </c>
      <c r="K57" s="4">
        <v>0</v>
      </c>
      <c r="L57" s="4">
        <v>0</v>
      </c>
      <c r="M57" s="4">
        <v>2833.75</v>
      </c>
    </row>
    <row r="58" spans="1:13" ht="15.75" x14ac:dyDescent="0.25">
      <c r="A58" s="8" t="s">
        <v>99</v>
      </c>
      <c r="B58" s="8" t="s">
        <v>153</v>
      </c>
      <c r="C58" s="4">
        <v>0</v>
      </c>
      <c r="D58" s="4">
        <v>0</v>
      </c>
      <c r="E58" s="4">
        <v>0</v>
      </c>
      <c r="F58" s="4">
        <v>0</v>
      </c>
      <c r="G58" s="4">
        <v>440</v>
      </c>
      <c r="H58" s="4">
        <v>10619.1</v>
      </c>
      <c r="I58" s="4">
        <v>0</v>
      </c>
      <c r="J58" s="4">
        <v>0</v>
      </c>
      <c r="K58" s="4">
        <v>0</v>
      </c>
      <c r="L58" s="4">
        <v>0</v>
      </c>
      <c r="M58" s="4">
        <v>2337.7999999999997</v>
      </c>
    </row>
    <row r="59" spans="1:13" ht="15.75" x14ac:dyDescent="0.25">
      <c r="A59" s="8" t="s">
        <v>101</v>
      </c>
      <c r="B59" s="8" t="s">
        <v>153</v>
      </c>
      <c r="C59" s="4">
        <v>0</v>
      </c>
      <c r="D59" s="4">
        <v>553.5</v>
      </c>
      <c r="E59" s="4">
        <v>3505.5</v>
      </c>
      <c r="F59" s="4">
        <v>15825.46</v>
      </c>
      <c r="G59" s="4">
        <v>0</v>
      </c>
      <c r="H59" s="4">
        <v>2524.25</v>
      </c>
      <c r="I59" s="4">
        <v>2619</v>
      </c>
      <c r="J59" s="4">
        <v>2140.1999999999998</v>
      </c>
      <c r="K59" s="4">
        <v>1863</v>
      </c>
      <c r="L59" s="4">
        <v>0</v>
      </c>
      <c r="M59" s="4">
        <v>4912.5</v>
      </c>
    </row>
    <row r="60" spans="1:13" ht="15.75" x14ac:dyDescent="0.25">
      <c r="A60" s="8" t="s">
        <v>102</v>
      </c>
      <c r="B60" s="8" t="s">
        <v>153</v>
      </c>
      <c r="C60" s="4">
        <v>0</v>
      </c>
      <c r="D60" s="4">
        <v>0</v>
      </c>
      <c r="E60" s="4">
        <v>0</v>
      </c>
      <c r="F60" s="4">
        <v>1424.1599999999999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</row>
    <row r="61" spans="1:13" ht="15.75" x14ac:dyDescent="0.25">
      <c r="A61" s="8" t="s">
        <v>103</v>
      </c>
      <c r="B61" s="8" t="s">
        <v>153</v>
      </c>
      <c r="C61" s="4">
        <v>22334.400000000001</v>
      </c>
      <c r="D61" s="4">
        <v>5719.9</v>
      </c>
      <c r="E61" s="4">
        <v>0</v>
      </c>
      <c r="F61" s="4">
        <v>3393.3999999999996</v>
      </c>
      <c r="G61" s="4">
        <v>12453.119999999999</v>
      </c>
      <c r="H61" s="4">
        <v>12182.400000000001</v>
      </c>
      <c r="I61" s="4">
        <v>2030.4</v>
      </c>
      <c r="J61" s="4">
        <v>2030.4</v>
      </c>
      <c r="K61" s="4">
        <v>0</v>
      </c>
      <c r="L61" s="4">
        <v>5188.7999999999993</v>
      </c>
      <c r="M61" s="4">
        <v>25774.800000000003</v>
      </c>
    </row>
    <row r="62" spans="1:13" ht="15.75" x14ac:dyDescent="0.25">
      <c r="A62" s="8" t="s">
        <v>104</v>
      </c>
      <c r="B62" s="8" t="s">
        <v>153</v>
      </c>
      <c r="C62" s="4">
        <v>0</v>
      </c>
      <c r="D62" s="4">
        <v>7769.18</v>
      </c>
      <c r="E62" s="4">
        <v>0</v>
      </c>
      <c r="F62" s="4">
        <v>0</v>
      </c>
      <c r="G62" s="4">
        <v>0</v>
      </c>
      <c r="H62" s="4">
        <v>3768.3</v>
      </c>
      <c r="I62" s="4">
        <v>3352.2</v>
      </c>
      <c r="J62" s="4">
        <v>3294.9</v>
      </c>
      <c r="K62" s="4">
        <v>2804.4</v>
      </c>
      <c r="L62" s="4">
        <v>0</v>
      </c>
      <c r="M62" s="4">
        <v>2521.8000000000002</v>
      </c>
    </row>
    <row r="63" spans="1:13" ht="15.75" x14ac:dyDescent="0.25">
      <c r="A63" s="8" t="s">
        <v>105</v>
      </c>
      <c r="B63" s="8" t="s">
        <v>153</v>
      </c>
      <c r="C63" s="4">
        <v>2244</v>
      </c>
      <c r="D63" s="4">
        <v>7832.9000000000005</v>
      </c>
      <c r="E63" s="4">
        <v>0</v>
      </c>
      <c r="F63" s="4">
        <v>0</v>
      </c>
      <c r="G63" s="4">
        <v>7595.52</v>
      </c>
      <c r="H63" s="4">
        <v>1873.3500000000001</v>
      </c>
      <c r="I63" s="4">
        <v>0</v>
      </c>
      <c r="J63" s="4">
        <v>0</v>
      </c>
      <c r="K63" s="4">
        <v>0</v>
      </c>
      <c r="L63" s="4">
        <v>0</v>
      </c>
      <c r="M63" s="4">
        <v>5361.3</v>
      </c>
    </row>
    <row r="64" spans="1:13" ht="15.75" x14ac:dyDescent="0.25">
      <c r="A64" s="8" t="s">
        <v>107</v>
      </c>
      <c r="B64" s="8" t="s">
        <v>153</v>
      </c>
      <c r="C64" s="4">
        <v>0</v>
      </c>
      <c r="D64" s="4">
        <v>938.4</v>
      </c>
      <c r="E64" s="4">
        <v>0</v>
      </c>
      <c r="F64" s="4">
        <v>2982.6400000000003</v>
      </c>
      <c r="G64" s="4">
        <v>0</v>
      </c>
      <c r="H64" s="4">
        <v>3600.5</v>
      </c>
      <c r="I64" s="4">
        <v>0</v>
      </c>
      <c r="J64" s="4">
        <v>0</v>
      </c>
      <c r="K64" s="4">
        <v>625.5</v>
      </c>
      <c r="L64" s="4">
        <v>0</v>
      </c>
      <c r="M64" s="4">
        <v>8729.35</v>
      </c>
    </row>
    <row r="65" spans="1:13" ht="15.75" x14ac:dyDescent="0.25">
      <c r="A65" s="8" t="s">
        <v>108</v>
      </c>
      <c r="B65" s="8" t="s">
        <v>153</v>
      </c>
      <c r="C65" s="4">
        <v>0</v>
      </c>
      <c r="D65" s="4">
        <v>8640.0299999999988</v>
      </c>
      <c r="E65" s="4">
        <v>0</v>
      </c>
      <c r="F65" s="4">
        <v>0</v>
      </c>
      <c r="G65" s="4">
        <v>0</v>
      </c>
      <c r="H65" s="4">
        <v>20481.900000000001</v>
      </c>
      <c r="I65" s="4">
        <v>0</v>
      </c>
      <c r="J65" s="4">
        <v>2052</v>
      </c>
      <c r="K65" s="4">
        <v>0</v>
      </c>
      <c r="L65" s="4">
        <v>0</v>
      </c>
      <c r="M65" s="4">
        <v>19818.800000000003</v>
      </c>
    </row>
    <row r="66" spans="1:13" ht="15.75" x14ac:dyDescent="0.25">
      <c r="A66" s="8" t="s">
        <v>109</v>
      </c>
      <c r="B66" s="8" t="s">
        <v>153</v>
      </c>
      <c r="C66" s="4">
        <v>0</v>
      </c>
      <c r="D66" s="4">
        <v>7875</v>
      </c>
      <c r="E66" s="4">
        <v>0</v>
      </c>
      <c r="F66" s="4">
        <v>9419.5999999999985</v>
      </c>
      <c r="G66" s="4">
        <v>0</v>
      </c>
      <c r="H66" s="4">
        <v>0</v>
      </c>
      <c r="I66" s="4">
        <v>0</v>
      </c>
      <c r="J66" s="4">
        <v>12841.199999999999</v>
      </c>
      <c r="K66" s="4">
        <v>0</v>
      </c>
      <c r="L66" s="4">
        <v>12976.2</v>
      </c>
      <c r="M66" s="4">
        <v>0</v>
      </c>
    </row>
    <row r="67" spans="1:13" ht="15.75" x14ac:dyDescent="0.25">
      <c r="A67" s="8" t="s">
        <v>110</v>
      </c>
      <c r="B67" s="8" t="s">
        <v>153</v>
      </c>
      <c r="C67" s="4">
        <v>0</v>
      </c>
      <c r="D67" s="4">
        <v>5544</v>
      </c>
      <c r="E67" s="4">
        <v>0</v>
      </c>
      <c r="F67" s="4">
        <v>50781.35</v>
      </c>
      <c r="G67" s="4">
        <v>44204.159999999996</v>
      </c>
      <c r="H67" s="4">
        <v>38044.799999999996</v>
      </c>
      <c r="I67" s="4">
        <v>0</v>
      </c>
      <c r="J67" s="4">
        <v>0</v>
      </c>
      <c r="K67" s="4">
        <v>0</v>
      </c>
      <c r="L67" s="4">
        <v>100516.40000000002</v>
      </c>
      <c r="M67" s="4">
        <v>109117.80000000005</v>
      </c>
    </row>
    <row r="68" spans="1:13" ht="15.75" x14ac:dyDescent="0.25">
      <c r="A68" s="8" t="s">
        <v>111</v>
      </c>
      <c r="B68" s="8" t="s">
        <v>153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2268</v>
      </c>
      <c r="L68" s="4">
        <v>0</v>
      </c>
      <c r="M68" s="4">
        <v>0</v>
      </c>
    </row>
    <row r="69" spans="1:13" ht="15.75" x14ac:dyDescent="0.25">
      <c r="A69" s="8" t="s">
        <v>112</v>
      </c>
      <c r="B69" s="8" t="s">
        <v>153</v>
      </c>
      <c r="C69" s="4">
        <v>0</v>
      </c>
      <c r="D69" s="4">
        <v>111840.3</v>
      </c>
      <c r="E69" s="4">
        <v>0</v>
      </c>
      <c r="F69" s="4">
        <v>5925.86</v>
      </c>
      <c r="G69" s="4">
        <v>0</v>
      </c>
      <c r="H69" s="4">
        <v>5278.95</v>
      </c>
      <c r="I69" s="4">
        <v>937.90000000000009</v>
      </c>
      <c r="J69" s="4">
        <v>10930.5</v>
      </c>
      <c r="K69" s="4">
        <v>1051.2</v>
      </c>
      <c r="L69" s="4">
        <v>0</v>
      </c>
      <c r="M69" s="4">
        <v>2766.4000000000005</v>
      </c>
    </row>
    <row r="70" spans="1:13" ht="15.75" x14ac:dyDescent="0.25">
      <c r="A70" s="8" t="s">
        <v>113</v>
      </c>
      <c r="B70" s="8" t="s">
        <v>153</v>
      </c>
      <c r="C70" s="4">
        <v>0</v>
      </c>
      <c r="D70" s="4">
        <v>1017.6</v>
      </c>
      <c r="E70" s="4">
        <v>0</v>
      </c>
      <c r="F70" s="4">
        <v>2721.6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</row>
    <row r="71" spans="1:13" ht="15.75" x14ac:dyDescent="0.25">
      <c r="A71" s="8" t="s">
        <v>114</v>
      </c>
      <c r="B71" s="8" t="s">
        <v>153</v>
      </c>
      <c r="C71" s="4">
        <v>0</v>
      </c>
      <c r="D71" s="4">
        <v>23200.799999999996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 ht="15.75" x14ac:dyDescent="0.25">
      <c r="A72" s="8" t="s">
        <v>115</v>
      </c>
      <c r="B72" s="8" t="s">
        <v>153</v>
      </c>
      <c r="C72" s="4">
        <v>-1967.73</v>
      </c>
      <c r="D72" s="4">
        <v>0</v>
      </c>
      <c r="E72" s="4">
        <v>0</v>
      </c>
      <c r="F72" s="4">
        <v>-1206.1100000000001</v>
      </c>
      <c r="G72" s="4">
        <v>0</v>
      </c>
      <c r="H72" s="4">
        <v>-8003.01</v>
      </c>
      <c r="I72" s="4">
        <v>0</v>
      </c>
      <c r="J72" s="4">
        <v>0</v>
      </c>
      <c r="K72" s="4">
        <v>0</v>
      </c>
      <c r="L72" s="4">
        <v>0</v>
      </c>
      <c r="M72" s="4">
        <v>-1883.8899999999999</v>
      </c>
    </row>
    <row r="73" spans="1:13" ht="15.75" x14ac:dyDescent="0.25">
      <c r="A73" s="8" t="s">
        <v>116</v>
      </c>
      <c r="B73" s="8" t="s">
        <v>153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494</v>
      </c>
      <c r="I73" s="4">
        <v>0</v>
      </c>
      <c r="J73" s="4">
        <v>0</v>
      </c>
      <c r="K73" s="4">
        <v>0</v>
      </c>
      <c r="L73" s="4">
        <v>0</v>
      </c>
      <c r="M73" s="4">
        <v>2470</v>
      </c>
    </row>
    <row r="74" spans="1:13" ht="15.75" x14ac:dyDescent="0.25">
      <c r="A74" s="8" t="s">
        <v>117</v>
      </c>
      <c r="B74" s="8" t="s">
        <v>153</v>
      </c>
      <c r="C74" s="4">
        <v>0</v>
      </c>
      <c r="D74" s="4">
        <v>3757.8</v>
      </c>
      <c r="E74" s="4">
        <v>0</v>
      </c>
      <c r="F74" s="4">
        <v>2986.2</v>
      </c>
      <c r="G74" s="4">
        <v>0</v>
      </c>
      <c r="H74" s="4">
        <v>27947.849999999995</v>
      </c>
      <c r="I74" s="4">
        <v>0</v>
      </c>
      <c r="J74" s="4">
        <v>0</v>
      </c>
      <c r="K74" s="4">
        <v>0</v>
      </c>
      <c r="L74" s="4">
        <v>286</v>
      </c>
      <c r="M74" s="4">
        <v>20267.049999999996</v>
      </c>
    </row>
    <row r="75" spans="1:13" ht="15.75" x14ac:dyDescent="0.25">
      <c r="A75" s="8" t="s">
        <v>118</v>
      </c>
      <c r="B75" s="8" t="s">
        <v>153</v>
      </c>
      <c r="C75" s="4">
        <v>0</v>
      </c>
      <c r="D75" s="4">
        <v>27814.550000000007</v>
      </c>
      <c r="E75" s="4">
        <v>0</v>
      </c>
      <c r="F75" s="4">
        <v>0</v>
      </c>
      <c r="G75" s="4">
        <v>1118</v>
      </c>
      <c r="H75" s="4">
        <v>11125.45</v>
      </c>
      <c r="I75" s="4">
        <v>1771.2</v>
      </c>
      <c r="J75" s="4">
        <v>9550.7999999999993</v>
      </c>
      <c r="K75" s="4">
        <v>0</v>
      </c>
      <c r="L75" s="4">
        <v>0</v>
      </c>
      <c r="M75" s="4">
        <v>6574</v>
      </c>
    </row>
    <row r="76" spans="1:13" ht="15.75" x14ac:dyDescent="0.25">
      <c r="A76" s="8" t="s">
        <v>119</v>
      </c>
      <c r="B76" s="8" t="s">
        <v>153</v>
      </c>
      <c r="C76" s="4">
        <v>0</v>
      </c>
      <c r="D76" s="4">
        <v>810</v>
      </c>
      <c r="E76" s="4">
        <v>0</v>
      </c>
      <c r="F76" s="4">
        <v>7643.7000000000007</v>
      </c>
      <c r="G76" s="4">
        <v>0</v>
      </c>
      <c r="H76" s="4">
        <v>2440.8000000000002</v>
      </c>
      <c r="I76" s="4">
        <v>0</v>
      </c>
      <c r="J76" s="4">
        <v>0</v>
      </c>
      <c r="K76" s="4">
        <v>0</v>
      </c>
      <c r="L76" s="4">
        <v>17325.900000000001</v>
      </c>
      <c r="M76" s="4">
        <v>17630.099999999999</v>
      </c>
    </row>
    <row r="77" spans="1:13" ht="15.75" x14ac:dyDescent="0.25">
      <c r="A77" s="8" t="s">
        <v>120</v>
      </c>
      <c r="B77" s="8" t="s">
        <v>153</v>
      </c>
      <c r="C77" s="4">
        <v>0</v>
      </c>
      <c r="D77" s="4">
        <v>12758.4</v>
      </c>
      <c r="E77" s="4">
        <v>0</v>
      </c>
      <c r="F77" s="4">
        <v>0</v>
      </c>
      <c r="G77" s="4">
        <v>780</v>
      </c>
      <c r="H77" s="4">
        <v>1482</v>
      </c>
      <c r="I77" s="4">
        <v>0</v>
      </c>
      <c r="J77" s="4">
        <v>0</v>
      </c>
      <c r="K77" s="4">
        <v>0</v>
      </c>
      <c r="L77" s="4">
        <v>0</v>
      </c>
      <c r="M77" s="4">
        <v>1482</v>
      </c>
    </row>
    <row r="78" spans="1:13" ht="15.75" x14ac:dyDescent="0.25">
      <c r="A78" s="8" t="s">
        <v>122</v>
      </c>
      <c r="B78" s="8" t="s">
        <v>153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648</v>
      </c>
      <c r="K78" s="4">
        <v>0</v>
      </c>
      <c r="L78" s="4">
        <v>0</v>
      </c>
      <c r="M78" s="4">
        <v>0</v>
      </c>
    </row>
    <row r="79" spans="1:13" ht="15.75" x14ac:dyDescent="0.25">
      <c r="A79" s="8" t="s">
        <v>124</v>
      </c>
      <c r="B79" s="8" t="s">
        <v>153</v>
      </c>
      <c r="C79" s="4">
        <v>0</v>
      </c>
      <c r="D79" s="4">
        <v>806.4</v>
      </c>
      <c r="E79" s="4">
        <v>0</v>
      </c>
      <c r="F79" s="4">
        <v>0</v>
      </c>
      <c r="G79" s="4">
        <v>0</v>
      </c>
      <c r="H79" s="4">
        <v>582.4</v>
      </c>
      <c r="I79" s="4">
        <v>0</v>
      </c>
      <c r="J79" s="4">
        <v>0</v>
      </c>
      <c r="K79" s="4">
        <v>0</v>
      </c>
      <c r="L79" s="4">
        <v>0</v>
      </c>
      <c r="M79" s="4">
        <v>1489.6</v>
      </c>
    </row>
    <row r="80" spans="1:13" ht="15.75" x14ac:dyDescent="0.25">
      <c r="A80" s="8" t="s">
        <v>125</v>
      </c>
      <c r="B80" s="8" t="s">
        <v>153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2487.1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</row>
    <row r="81" spans="1:13" ht="15.75" x14ac:dyDescent="0.25">
      <c r="A81" s="8" t="s">
        <v>126</v>
      </c>
      <c r="B81" s="8" t="s">
        <v>153</v>
      </c>
      <c r="C81" s="4">
        <v>0</v>
      </c>
      <c r="D81" s="4">
        <v>22937.590000000004</v>
      </c>
      <c r="E81" s="4">
        <v>0</v>
      </c>
      <c r="F81" s="4">
        <v>-1575.0400000000002</v>
      </c>
      <c r="G81" s="4">
        <v>534</v>
      </c>
      <c r="H81" s="4">
        <v>5897.5999999999995</v>
      </c>
      <c r="I81" s="4">
        <v>7665.0000000000009</v>
      </c>
      <c r="J81" s="4">
        <v>7527.6000000000013</v>
      </c>
      <c r="K81" s="4">
        <v>6453.6</v>
      </c>
      <c r="L81" s="4">
        <v>0</v>
      </c>
      <c r="M81" s="4">
        <v>3228.8</v>
      </c>
    </row>
    <row r="82" spans="1:13" ht="15.75" x14ac:dyDescent="0.25">
      <c r="A82" s="8" t="s">
        <v>127</v>
      </c>
      <c r="B82" s="8" t="s">
        <v>153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5331.6</v>
      </c>
      <c r="K82" s="4">
        <v>0</v>
      </c>
      <c r="L82" s="4">
        <v>0</v>
      </c>
      <c r="M82" s="4">
        <v>0</v>
      </c>
    </row>
    <row r="83" spans="1:13" ht="15.75" x14ac:dyDescent="0.25">
      <c r="A83" s="8" t="s">
        <v>128</v>
      </c>
      <c r="B83" s="8" t="s">
        <v>153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793.8</v>
      </c>
      <c r="J83" s="4">
        <v>5607.9</v>
      </c>
      <c r="K83" s="4">
        <v>0</v>
      </c>
      <c r="L83" s="4">
        <v>0</v>
      </c>
      <c r="M83" s="4">
        <v>-2425.5</v>
      </c>
    </row>
    <row r="84" spans="1:13" ht="15.75" x14ac:dyDescent="0.25">
      <c r="A84" s="8" t="s">
        <v>129</v>
      </c>
      <c r="B84" s="8" t="s">
        <v>153</v>
      </c>
      <c r="C84" s="4">
        <v>165200.20000000001</v>
      </c>
      <c r="D84" s="4">
        <v>0</v>
      </c>
      <c r="E84" s="4">
        <v>-5.7999999999997272</v>
      </c>
      <c r="F84" s="4">
        <v>23637.11</v>
      </c>
      <c r="G84" s="4">
        <v>39368</v>
      </c>
      <c r="H84" s="4">
        <v>45953.439999999995</v>
      </c>
      <c r="I84" s="4">
        <v>0</v>
      </c>
      <c r="J84" s="4">
        <v>1162.8</v>
      </c>
      <c r="K84" s="4">
        <v>0</v>
      </c>
      <c r="L84" s="4">
        <v>39202.270000000004</v>
      </c>
      <c r="M84" s="4">
        <v>84181.26</v>
      </c>
    </row>
    <row r="85" spans="1:13" ht="15.75" x14ac:dyDescent="0.25">
      <c r="A85" s="8" t="s">
        <v>130</v>
      </c>
      <c r="B85" s="8" t="s">
        <v>153</v>
      </c>
      <c r="C85" s="4">
        <v>0</v>
      </c>
      <c r="D85" s="4">
        <v>5334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3" ht="15.75" x14ac:dyDescent="0.25">
      <c r="A86" s="8" t="s">
        <v>131</v>
      </c>
      <c r="B86" s="8" t="s">
        <v>153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5681</v>
      </c>
      <c r="I86" s="4">
        <v>0</v>
      </c>
      <c r="J86" s="4">
        <v>0</v>
      </c>
      <c r="K86" s="4">
        <v>0</v>
      </c>
      <c r="L86" s="4">
        <v>0</v>
      </c>
      <c r="M86" s="4">
        <v>1710</v>
      </c>
    </row>
    <row r="87" spans="1:13" ht="15.75" x14ac:dyDescent="0.25">
      <c r="A87" s="8" t="s">
        <v>132</v>
      </c>
      <c r="B87" s="8" t="s">
        <v>153</v>
      </c>
      <c r="C87" s="4">
        <v>0</v>
      </c>
      <c r="D87" s="4">
        <v>7353.12</v>
      </c>
      <c r="E87" s="4">
        <v>0</v>
      </c>
      <c r="F87" s="4">
        <v>3100.8</v>
      </c>
      <c r="G87" s="4">
        <v>-825</v>
      </c>
      <c r="H87" s="4">
        <v>0</v>
      </c>
      <c r="I87" s="4">
        <v>0</v>
      </c>
      <c r="J87" s="4">
        <v>2818.8</v>
      </c>
      <c r="K87" s="4">
        <v>1332</v>
      </c>
      <c r="L87" s="4">
        <v>0</v>
      </c>
      <c r="M87" s="4">
        <v>-65.17</v>
      </c>
    </row>
    <row r="88" spans="1:13" ht="15.75" x14ac:dyDescent="0.25">
      <c r="A88" s="8" t="s">
        <v>133</v>
      </c>
      <c r="B88" s="8" t="s">
        <v>153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2888.0000000000005</v>
      </c>
      <c r="I88" s="4">
        <v>0</v>
      </c>
      <c r="J88" s="4">
        <v>0</v>
      </c>
      <c r="K88" s="4">
        <v>0</v>
      </c>
      <c r="L88" s="4">
        <v>1273</v>
      </c>
      <c r="M88" s="4">
        <v>8826</v>
      </c>
    </row>
    <row r="89" spans="1:13" ht="15.75" x14ac:dyDescent="0.25">
      <c r="A89" s="8" t="s">
        <v>135</v>
      </c>
      <c r="B89" s="8" t="s">
        <v>153</v>
      </c>
      <c r="C89" s="4">
        <v>0</v>
      </c>
      <c r="D89" s="4">
        <v>8707.5</v>
      </c>
      <c r="E89" s="4">
        <v>0</v>
      </c>
      <c r="F89" s="4">
        <v>0</v>
      </c>
      <c r="G89" s="4">
        <v>0</v>
      </c>
      <c r="H89" s="4">
        <v>855</v>
      </c>
      <c r="I89" s="4">
        <v>0</v>
      </c>
      <c r="J89" s="4">
        <v>0</v>
      </c>
      <c r="K89" s="4">
        <v>0</v>
      </c>
      <c r="L89" s="4">
        <v>0</v>
      </c>
      <c r="M89" s="4">
        <v>1368</v>
      </c>
    </row>
    <row r="90" spans="1:13" ht="15.75" x14ac:dyDescent="0.25">
      <c r="A90" s="8" t="s">
        <v>136</v>
      </c>
      <c r="B90" s="8" t="s">
        <v>153</v>
      </c>
      <c r="C90" s="4">
        <v>0</v>
      </c>
      <c r="D90" s="4">
        <v>10624.5</v>
      </c>
      <c r="E90" s="4">
        <v>0</v>
      </c>
      <c r="F90" s="4">
        <v>1448.08</v>
      </c>
      <c r="G90" s="4">
        <v>0</v>
      </c>
      <c r="H90" s="4">
        <v>3738.25</v>
      </c>
      <c r="I90" s="4">
        <v>0</v>
      </c>
      <c r="J90" s="4">
        <v>0</v>
      </c>
      <c r="K90" s="4">
        <v>708.3</v>
      </c>
      <c r="L90" s="4">
        <v>0</v>
      </c>
      <c r="M90" s="4">
        <v>3698.8999999999996</v>
      </c>
    </row>
    <row r="91" spans="1:13" ht="15.75" x14ac:dyDescent="0.25">
      <c r="A91" s="8" t="s">
        <v>138</v>
      </c>
      <c r="B91" s="8" t="s">
        <v>153</v>
      </c>
      <c r="C91" s="4">
        <v>0</v>
      </c>
      <c r="D91" s="4">
        <v>5178.7999999999993</v>
      </c>
      <c r="E91" s="4">
        <v>0</v>
      </c>
      <c r="F91" s="4">
        <v>0</v>
      </c>
      <c r="G91" s="4">
        <v>3356.16</v>
      </c>
      <c r="H91" s="4">
        <v>3996.8</v>
      </c>
      <c r="I91" s="4">
        <v>1228.5</v>
      </c>
      <c r="J91" s="4">
        <v>4595.4000000000005</v>
      </c>
      <c r="K91" s="4">
        <v>1555.2</v>
      </c>
      <c r="L91" s="4">
        <v>0</v>
      </c>
      <c r="M91" s="4">
        <v>273.60000000000002</v>
      </c>
    </row>
    <row r="92" spans="1:13" ht="15.75" x14ac:dyDescent="0.25">
      <c r="A92" s="8" t="s">
        <v>139</v>
      </c>
      <c r="B92" s="8" t="s">
        <v>153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1188</v>
      </c>
      <c r="L92" s="4">
        <v>0</v>
      </c>
      <c r="M92" s="4">
        <v>2829.6</v>
      </c>
    </row>
    <row r="93" spans="1:13" ht="15.75" x14ac:dyDescent="0.25">
      <c r="A93" s="8" t="s">
        <v>140</v>
      </c>
      <c r="B93" s="8" t="s">
        <v>153</v>
      </c>
      <c r="C93" s="4">
        <v>0</v>
      </c>
      <c r="D93" s="4">
        <v>0</v>
      </c>
      <c r="E93" s="4">
        <v>0</v>
      </c>
      <c r="F93" s="4">
        <v>2034.9</v>
      </c>
      <c r="G93" s="4">
        <v>0</v>
      </c>
      <c r="H93" s="4">
        <v>0</v>
      </c>
      <c r="I93" s="4">
        <v>0</v>
      </c>
      <c r="J93" s="4">
        <v>0</v>
      </c>
      <c r="K93" s="4">
        <v>-97.199999999999932</v>
      </c>
      <c r="L93" s="4">
        <v>0</v>
      </c>
      <c r="M93" s="4">
        <v>0</v>
      </c>
    </row>
    <row r="94" spans="1:13" ht="15.75" x14ac:dyDescent="0.25">
      <c r="A94" s="8" t="s">
        <v>141</v>
      </c>
      <c r="B94" s="8" t="s">
        <v>153</v>
      </c>
      <c r="C94" s="4">
        <v>0</v>
      </c>
      <c r="D94" s="4">
        <v>15480.25</v>
      </c>
      <c r="E94" s="4">
        <v>0</v>
      </c>
      <c r="F94" s="4">
        <v>0</v>
      </c>
      <c r="G94" s="4">
        <v>0</v>
      </c>
      <c r="H94" s="4">
        <v>11699.5</v>
      </c>
      <c r="I94" s="4">
        <v>3315.6000000000004</v>
      </c>
      <c r="J94" s="4">
        <v>1368</v>
      </c>
      <c r="K94" s="4">
        <v>1054.5</v>
      </c>
      <c r="L94" s="4">
        <v>0</v>
      </c>
      <c r="M94" s="4">
        <v>18069.95</v>
      </c>
    </row>
    <row r="95" spans="1:13" ht="15.75" x14ac:dyDescent="0.25">
      <c r="A95" s="8" t="s">
        <v>142</v>
      </c>
      <c r="B95" s="8" t="s">
        <v>153</v>
      </c>
      <c r="C95" s="4">
        <v>0</v>
      </c>
      <c r="D95" s="4">
        <v>0</v>
      </c>
      <c r="E95" s="4">
        <v>0</v>
      </c>
      <c r="F95" s="4">
        <v>0</v>
      </c>
      <c r="G95" s="4">
        <v>660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ht="15.75" x14ac:dyDescent="0.25">
      <c r="A96" s="8" t="s">
        <v>143</v>
      </c>
      <c r="B96" s="8" t="s">
        <v>153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1386</v>
      </c>
      <c r="I96" s="4">
        <v>0</v>
      </c>
      <c r="J96" s="4">
        <v>0</v>
      </c>
      <c r="K96" s="4">
        <v>2149.1999999999998</v>
      </c>
      <c r="L96" s="4">
        <v>0</v>
      </c>
      <c r="M96" s="4">
        <v>4752</v>
      </c>
    </row>
    <row r="97" spans="1:13" ht="15.75" x14ac:dyDescent="0.25">
      <c r="A97" s="8" t="s">
        <v>145</v>
      </c>
      <c r="B97" s="8" t="s">
        <v>153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613.79999999999995</v>
      </c>
    </row>
    <row r="98" spans="1:13" ht="15.75" x14ac:dyDescent="0.25">
      <c r="A98" s="8" t="s">
        <v>146</v>
      </c>
      <c r="B98" s="8" t="s">
        <v>153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-579.6</v>
      </c>
      <c r="K98" s="4">
        <v>0</v>
      </c>
      <c r="L98" s="4">
        <v>0</v>
      </c>
      <c r="M98" s="4">
        <v>0</v>
      </c>
    </row>
    <row r="99" spans="1:13" ht="15.75" x14ac:dyDescent="0.25">
      <c r="A99" s="8" t="s">
        <v>147</v>
      </c>
      <c r="B99" s="8" t="s">
        <v>153</v>
      </c>
      <c r="C99" s="4">
        <v>0</v>
      </c>
      <c r="D99" s="4">
        <v>103956.73</v>
      </c>
      <c r="E99" s="4">
        <v>0</v>
      </c>
      <c r="F99" s="4">
        <v>0</v>
      </c>
      <c r="G99" s="4">
        <v>29900</v>
      </c>
      <c r="H99" s="4">
        <v>10791.95</v>
      </c>
      <c r="I99" s="4">
        <v>21584</v>
      </c>
      <c r="J99" s="4">
        <v>849.6</v>
      </c>
      <c r="K99" s="4">
        <v>27588</v>
      </c>
      <c r="L99" s="4">
        <v>0</v>
      </c>
      <c r="M99" s="4">
        <v>23967.3</v>
      </c>
    </row>
    <row r="100" spans="1:13" ht="15.75" x14ac:dyDescent="0.25">
      <c r="A100" s="8" t="s">
        <v>148</v>
      </c>
      <c r="B100" s="8" t="s">
        <v>153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4482</v>
      </c>
      <c r="K100" s="4">
        <v>0</v>
      </c>
      <c r="L100" s="4">
        <v>0</v>
      </c>
      <c r="M100" s="4">
        <v>0</v>
      </c>
    </row>
    <row r="101" spans="1:13" ht="15.75" x14ac:dyDescent="0.25">
      <c r="A101" s="8" t="s">
        <v>149</v>
      </c>
      <c r="B101" s="8" t="s">
        <v>153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2224.8000000000002</v>
      </c>
      <c r="K101" s="4">
        <v>1242</v>
      </c>
      <c r="L101" s="4">
        <v>0</v>
      </c>
      <c r="M101" s="4">
        <v>-413</v>
      </c>
    </row>
    <row r="102" spans="1:13" ht="15.75" x14ac:dyDescent="0.25">
      <c r="A102" s="8" t="s">
        <v>150</v>
      </c>
      <c r="B102" s="8" t="s">
        <v>153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2271.6</v>
      </c>
      <c r="K102" s="4">
        <v>0</v>
      </c>
      <c r="L102" s="4">
        <v>0</v>
      </c>
      <c r="M102" s="4">
        <v>0</v>
      </c>
    </row>
    <row r="103" spans="1:13" ht="15.75" x14ac:dyDescent="0.25">
      <c r="A103" s="8" t="s">
        <v>152</v>
      </c>
      <c r="B103" s="8" t="s">
        <v>153</v>
      </c>
      <c r="C103" s="4">
        <v>0</v>
      </c>
      <c r="D103" s="4">
        <v>2822.4</v>
      </c>
      <c r="E103" s="4">
        <v>0</v>
      </c>
      <c r="F103" s="4">
        <v>0</v>
      </c>
      <c r="G103" s="4">
        <v>0</v>
      </c>
      <c r="H103" s="4">
        <v>1140</v>
      </c>
      <c r="I103" s="4">
        <v>1620</v>
      </c>
      <c r="J103" s="4">
        <v>4860</v>
      </c>
      <c r="K103" s="4">
        <v>0</v>
      </c>
      <c r="L103" s="4">
        <v>0</v>
      </c>
      <c r="M103" s="4">
        <v>1140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1BAF-9F7B-4DBA-B278-FF815F0672B6}">
  <dimension ref="A1:D22"/>
  <sheetViews>
    <sheetView tabSelected="1" workbookViewId="0">
      <selection activeCell="J16" sqref="J16"/>
    </sheetView>
  </sheetViews>
  <sheetFormatPr baseColWidth="10" defaultColWidth="9.140625" defaultRowHeight="15" x14ac:dyDescent="0.25"/>
  <cols>
    <col min="1" max="1" width="21.5703125" style="27" bestFit="1" customWidth="1"/>
    <col min="2" max="3" width="40.5703125" style="27" customWidth="1"/>
    <col min="4" max="4" width="18.28515625" style="27" bestFit="1" customWidth="1"/>
    <col min="5" max="5" width="10" style="27" customWidth="1"/>
    <col min="6" max="16384" width="9.140625" style="27"/>
  </cols>
  <sheetData>
    <row r="1" spans="1:4" ht="12.95" customHeight="1" x14ac:dyDescent="0.25"/>
    <row r="2" spans="1:4" ht="12.95" customHeight="1" x14ac:dyDescent="0.25">
      <c r="A2" s="32" t="s">
        <v>227</v>
      </c>
      <c r="B2" s="32" t="s">
        <v>226</v>
      </c>
      <c r="C2" s="32" t="s">
        <v>225</v>
      </c>
      <c r="D2" s="32" t="s">
        <v>224</v>
      </c>
    </row>
    <row r="3" spans="1:4" ht="15" customHeight="1" x14ac:dyDescent="0.25">
      <c r="A3" s="31">
        <v>33422</v>
      </c>
      <c r="B3" s="8" t="s">
        <v>223</v>
      </c>
      <c r="C3" s="8" t="s">
        <v>3</v>
      </c>
      <c r="D3" s="8" t="s">
        <v>200</v>
      </c>
    </row>
    <row r="4" spans="1:4" ht="15" customHeight="1" x14ac:dyDescent="0.25">
      <c r="A4" s="31">
        <v>33613</v>
      </c>
      <c r="B4" s="8" t="s">
        <v>222</v>
      </c>
      <c r="C4" s="8" t="s">
        <v>4</v>
      </c>
      <c r="D4" s="8" t="s">
        <v>205</v>
      </c>
    </row>
    <row r="5" spans="1:4" ht="15" customHeight="1" x14ac:dyDescent="0.25">
      <c r="A5" s="31">
        <v>33897</v>
      </c>
      <c r="B5" s="8" t="s">
        <v>221</v>
      </c>
      <c r="C5" s="8" t="s">
        <v>5</v>
      </c>
      <c r="D5" s="8" t="s">
        <v>205</v>
      </c>
    </row>
    <row r="6" spans="1:4" ht="15" customHeight="1" x14ac:dyDescent="0.25">
      <c r="A6" s="31">
        <v>35244</v>
      </c>
      <c r="B6" s="8" t="s">
        <v>220</v>
      </c>
      <c r="C6" s="8" t="s">
        <v>6</v>
      </c>
      <c r="D6" s="8" t="s">
        <v>208</v>
      </c>
    </row>
    <row r="7" spans="1:4" ht="15" customHeight="1" x14ac:dyDescent="0.25">
      <c r="A7" s="31">
        <v>35572</v>
      </c>
      <c r="B7" s="8" t="s">
        <v>219</v>
      </c>
      <c r="C7" s="8" t="s">
        <v>7</v>
      </c>
      <c r="D7" s="8" t="s">
        <v>208</v>
      </c>
    </row>
    <row r="8" spans="1:4" ht="15" customHeight="1" x14ac:dyDescent="0.25">
      <c r="A8" s="31">
        <v>36380</v>
      </c>
      <c r="B8" s="8" t="s">
        <v>218</v>
      </c>
      <c r="C8" s="8" t="s">
        <v>8</v>
      </c>
      <c r="D8" s="8" t="s">
        <v>200</v>
      </c>
    </row>
    <row r="9" spans="1:4" ht="15" customHeight="1" x14ac:dyDescent="0.25">
      <c r="A9" s="31">
        <v>36512</v>
      </c>
      <c r="B9" s="8" t="s">
        <v>217</v>
      </c>
      <c r="C9" s="8" t="s">
        <v>9</v>
      </c>
      <c r="D9" s="8" t="s">
        <v>208</v>
      </c>
    </row>
    <row r="10" spans="1:4" ht="15" customHeight="1" x14ac:dyDescent="0.25">
      <c r="A10" s="31">
        <v>36565</v>
      </c>
      <c r="B10" s="8" t="s">
        <v>216</v>
      </c>
      <c r="C10" s="8" t="s">
        <v>10</v>
      </c>
      <c r="D10" s="8" t="s">
        <v>200</v>
      </c>
    </row>
    <row r="11" spans="1:4" ht="15" customHeight="1" x14ac:dyDescent="0.25">
      <c r="A11" s="31">
        <v>36633</v>
      </c>
      <c r="B11" s="8" t="s">
        <v>215</v>
      </c>
      <c r="C11" s="8" t="s">
        <v>11</v>
      </c>
      <c r="D11" s="8" t="s">
        <v>208</v>
      </c>
    </row>
    <row r="12" spans="1:4" ht="15" customHeight="1" x14ac:dyDescent="0.25">
      <c r="A12" s="31">
        <v>36636</v>
      </c>
      <c r="B12" s="8" t="s">
        <v>214</v>
      </c>
      <c r="C12" s="8" t="s">
        <v>12</v>
      </c>
      <c r="D12" s="8" t="s">
        <v>200</v>
      </c>
    </row>
    <row r="13" spans="1:4" ht="15" customHeight="1" x14ac:dyDescent="0.25">
      <c r="A13" s="31">
        <v>36781</v>
      </c>
      <c r="B13" s="8" t="s">
        <v>213</v>
      </c>
      <c r="C13" s="8" t="s">
        <v>13</v>
      </c>
      <c r="D13" s="8" t="s">
        <v>200</v>
      </c>
    </row>
    <row r="14" spans="1:4" ht="15" customHeight="1" x14ac:dyDescent="0.25">
      <c r="A14" s="31">
        <v>36991</v>
      </c>
      <c r="B14" s="8" t="s">
        <v>212</v>
      </c>
      <c r="C14" s="8" t="s">
        <v>14</v>
      </c>
      <c r="D14" s="8" t="s">
        <v>205</v>
      </c>
    </row>
    <row r="15" spans="1:4" ht="15" customHeight="1" x14ac:dyDescent="0.25">
      <c r="A15" s="31">
        <v>37040</v>
      </c>
      <c r="B15" s="8" t="s">
        <v>211</v>
      </c>
      <c r="C15" s="8" t="s">
        <v>15</v>
      </c>
      <c r="D15" s="8" t="s">
        <v>208</v>
      </c>
    </row>
    <row r="16" spans="1:4" ht="15" customHeight="1" x14ac:dyDescent="0.25">
      <c r="A16" s="31">
        <v>37175</v>
      </c>
      <c r="B16" s="8" t="s">
        <v>210</v>
      </c>
      <c r="C16" s="8" t="s">
        <v>16</v>
      </c>
      <c r="D16" s="8" t="s">
        <v>200</v>
      </c>
    </row>
    <row r="17" spans="1:4" ht="15" customHeight="1" x14ac:dyDescent="0.25">
      <c r="A17" s="31">
        <v>37218</v>
      </c>
      <c r="B17" s="8" t="s">
        <v>209</v>
      </c>
      <c r="C17" s="8" t="s">
        <v>17</v>
      </c>
      <c r="D17" s="8" t="s">
        <v>208</v>
      </c>
    </row>
    <row r="18" spans="1:4" ht="15" customHeight="1" x14ac:dyDescent="0.25">
      <c r="A18" s="31">
        <v>37290</v>
      </c>
      <c r="B18" s="8" t="s">
        <v>207</v>
      </c>
      <c r="C18" s="8" t="s">
        <v>18</v>
      </c>
      <c r="D18" s="8" t="s">
        <v>205</v>
      </c>
    </row>
    <row r="19" spans="1:4" ht="15" customHeight="1" x14ac:dyDescent="0.25">
      <c r="A19" s="31">
        <v>37606</v>
      </c>
      <c r="B19" s="8" t="s">
        <v>206</v>
      </c>
      <c r="C19" s="8" t="s">
        <v>19</v>
      </c>
      <c r="D19" s="8" t="s">
        <v>205</v>
      </c>
    </row>
    <row r="20" spans="1:4" ht="15" customHeight="1" x14ac:dyDescent="0.25">
      <c r="A20" s="31">
        <v>37833</v>
      </c>
      <c r="B20" s="8" t="s">
        <v>204</v>
      </c>
      <c r="C20" s="8" t="s">
        <v>20</v>
      </c>
      <c r="D20" s="8" t="s">
        <v>203</v>
      </c>
    </row>
    <row r="21" spans="1:4" ht="15" customHeight="1" x14ac:dyDescent="0.25">
      <c r="A21" s="31">
        <v>38092</v>
      </c>
      <c r="B21" s="8" t="s">
        <v>202</v>
      </c>
      <c r="C21" s="8" t="s">
        <v>21</v>
      </c>
      <c r="D21" s="8" t="s">
        <v>200</v>
      </c>
    </row>
    <row r="22" spans="1:4" ht="15" customHeight="1" x14ac:dyDescent="0.25">
      <c r="A22" s="31">
        <v>38513</v>
      </c>
      <c r="B22" s="8" t="s">
        <v>201</v>
      </c>
      <c r="C22" s="8" t="s">
        <v>22</v>
      </c>
      <c r="D22" s="8" t="s">
        <v>200</v>
      </c>
    </row>
  </sheetData>
  <mergeCells count="20">
    <mergeCell ref="A15"/>
    <mergeCell ref="A16"/>
    <mergeCell ref="A17"/>
    <mergeCell ref="A22"/>
    <mergeCell ref="A18"/>
    <mergeCell ref="A19"/>
    <mergeCell ref="A20"/>
    <mergeCell ref="A21"/>
    <mergeCell ref="A9"/>
    <mergeCell ref="A10"/>
    <mergeCell ref="A11"/>
    <mergeCell ref="A12"/>
    <mergeCell ref="A13"/>
    <mergeCell ref="A14"/>
    <mergeCell ref="A5"/>
    <mergeCell ref="A6"/>
    <mergeCell ref="A7"/>
    <mergeCell ref="A3"/>
    <mergeCell ref="A4"/>
    <mergeCell ref="A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EA47-CBA9-4E0D-976A-2FEF01EDA5C3}">
  <dimension ref="A1:A22"/>
  <sheetViews>
    <sheetView workbookViewId="0">
      <selection activeCell="B8" sqref="B8"/>
    </sheetView>
  </sheetViews>
  <sheetFormatPr baseColWidth="10" defaultRowHeight="15" x14ac:dyDescent="0.25"/>
  <cols>
    <col min="1" max="1" width="44" bestFit="1" customWidth="1"/>
  </cols>
  <sheetData>
    <row r="1" spans="1:1" x14ac:dyDescent="0.25">
      <c r="A1" t="s">
        <v>178</v>
      </c>
    </row>
    <row r="2" spans="1:1" x14ac:dyDescent="0.25">
      <c r="A2" t="s">
        <v>179</v>
      </c>
    </row>
    <row r="3" spans="1:1" x14ac:dyDescent="0.25">
      <c r="A3" t="s">
        <v>180</v>
      </c>
    </row>
    <row r="4" spans="1:1" x14ac:dyDescent="0.25">
      <c r="A4" t="s">
        <v>181</v>
      </c>
    </row>
    <row r="5" spans="1:1" x14ac:dyDescent="0.25">
      <c r="A5" t="s">
        <v>182</v>
      </c>
    </row>
    <row r="6" spans="1:1" x14ac:dyDescent="0.25">
      <c r="A6" s="26" t="s">
        <v>183</v>
      </c>
    </row>
    <row r="7" spans="1:1" x14ac:dyDescent="0.25">
      <c r="A7" s="26" t="s">
        <v>184</v>
      </c>
    </row>
    <row r="8" spans="1:1" x14ac:dyDescent="0.25">
      <c r="A8" s="26" t="s">
        <v>185</v>
      </c>
    </row>
    <row r="9" spans="1:1" x14ac:dyDescent="0.25">
      <c r="A9" s="26" t="s">
        <v>186</v>
      </c>
    </row>
    <row r="10" spans="1:1" x14ac:dyDescent="0.25">
      <c r="A10" t="s">
        <v>192</v>
      </c>
    </row>
    <row r="11" spans="1:1" x14ac:dyDescent="0.25">
      <c r="A11" t="s">
        <v>193</v>
      </c>
    </row>
    <row r="12" spans="1:1" x14ac:dyDescent="0.25">
      <c r="A12" t="s">
        <v>194</v>
      </c>
    </row>
    <row r="13" spans="1:1" x14ac:dyDescent="0.25">
      <c r="A13" t="s">
        <v>195</v>
      </c>
    </row>
    <row r="14" spans="1:1" x14ac:dyDescent="0.25">
      <c r="A14" t="s">
        <v>196</v>
      </c>
    </row>
    <row r="15" spans="1:1" x14ac:dyDescent="0.25">
      <c r="A15" t="s">
        <v>197</v>
      </c>
    </row>
    <row r="16" spans="1:1" x14ac:dyDescent="0.25">
      <c r="A16" t="s">
        <v>198</v>
      </c>
    </row>
    <row r="17" spans="1:1" x14ac:dyDescent="0.25">
      <c r="A17" t="s">
        <v>199</v>
      </c>
    </row>
    <row r="18" spans="1:1" x14ac:dyDescent="0.25">
      <c r="A18" t="s">
        <v>187</v>
      </c>
    </row>
    <row r="19" spans="1:1" x14ac:dyDescent="0.25">
      <c r="A19" t="s">
        <v>188</v>
      </c>
    </row>
    <row r="20" spans="1:1" x14ac:dyDescent="0.25">
      <c r="A20" t="s">
        <v>189</v>
      </c>
    </row>
    <row r="21" spans="1:1" x14ac:dyDescent="0.25">
      <c r="A21" t="s">
        <v>190</v>
      </c>
    </row>
    <row r="22" spans="1:1" x14ac:dyDescent="0.25">
      <c r="A22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5397-F76D-4CA7-9CC8-D3EAB37D27C9}">
  <dimension ref="A1:V131"/>
  <sheetViews>
    <sheetView topLeftCell="A43" workbookViewId="0">
      <selection activeCell="B72" sqref="A72:XFD72"/>
    </sheetView>
  </sheetViews>
  <sheetFormatPr baseColWidth="10" defaultColWidth="9.140625" defaultRowHeight="15" x14ac:dyDescent="0.25"/>
  <cols>
    <col min="1" max="1" width="6.5703125" bestFit="1" customWidth="1"/>
    <col min="2" max="2" width="25.42578125" bestFit="1" customWidth="1"/>
    <col min="3" max="3" width="26.5703125" bestFit="1" customWidth="1"/>
    <col min="4" max="4" width="32.140625" bestFit="1" customWidth="1"/>
    <col min="5" max="5" width="42.85546875" bestFit="1" customWidth="1"/>
    <col min="6" max="6" width="23" bestFit="1" customWidth="1"/>
    <col min="7" max="7" width="42.28515625" bestFit="1" customWidth="1"/>
    <col min="8" max="8" width="22.42578125" bestFit="1" customWidth="1"/>
    <col min="9" max="9" width="30" bestFit="1" customWidth="1"/>
    <col min="10" max="10" width="29.7109375" bestFit="1" customWidth="1"/>
    <col min="11" max="11" width="26.5703125" bestFit="1" customWidth="1"/>
    <col min="12" max="12" width="36.85546875" bestFit="1" customWidth="1"/>
    <col min="13" max="13" width="20.28515625" bestFit="1" customWidth="1"/>
    <col min="14" max="14" width="25" bestFit="1" customWidth="1"/>
    <col min="15" max="15" width="22.28515625" bestFit="1" customWidth="1"/>
    <col min="16" max="16" width="43.85546875" bestFit="1" customWidth="1"/>
    <col min="17" max="17" width="35" bestFit="1" customWidth="1"/>
    <col min="18" max="18" width="29.140625" bestFit="1" customWidth="1"/>
    <col min="19" max="19" width="22.85546875" bestFit="1" customWidth="1"/>
    <col min="20" max="20" width="31.5703125" bestFit="1" customWidth="1"/>
    <col min="21" max="21" width="41.28515625" bestFit="1" customWidth="1"/>
    <col min="22" max="22" width="31.85546875" bestFit="1" customWidth="1"/>
    <col min="23" max="23" width="10" customWidth="1"/>
  </cols>
  <sheetData>
    <row r="1" spans="1:22" ht="12.95" customHeight="1" x14ac:dyDescent="0.25">
      <c r="C1" s="1" t="s">
        <v>0</v>
      </c>
      <c r="D1" s="1" t="s">
        <v>1</v>
      </c>
    </row>
    <row r="2" spans="1:22" ht="12.95" customHeight="1" x14ac:dyDescent="0.25">
      <c r="C2" s="2" t="s">
        <v>0</v>
      </c>
      <c r="D2" s="2" t="s">
        <v>2</v>
      </c>
    </row>
    <row r="3" spans="1:22" ht="12.95" customHeight="1" x14ac:dyDescent="0.25">
      <c r="A3" s="1" t="s">
        <v>24</v>
      </c>
      <c r="B3" s="1" t="s">
        <v>26</v>
      </c>
      <c r="C3" s="29" t="s">
        <v>23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2" ht="12.95" customHeight="1" x14ac:dyDescent="0.25">
      <c r="A4" s="2" t="s">
        <v>25</v>
      </c>
      <c r="B4" s="2" t="s">
        <v>26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</row>
    <row r="5" spans="1:22" ht="15" customHeight="1" x14ac:dyDescent="0.25">
      <c r="A5" s="29" t="s">
        <v>153</v>
      </c>
      <c r="B5" s="3" t="s">
        <v>27</v>
      </c>
      <c r="C5" s="4">
        <v>0</v>
      </c>
      <c r="D5" s="4">
        <v>0</v>
      </c>
      <c r="E5" s="4">
        <v>0</v>
      </c>
      <c r="F5" s="4">
        <v>6006</v>
      </c>
      <c r="G5" s="4">
        <v>0</v>
      </c>
      <c r="H5" s="4">
        <v>0</v>
      </c>
      <c r="I5" s="4">
        <v>6930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577.5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6814.5</v>
      </c>
    </row>
    <row r="6" spans="1:22" ht="15" customHeight="1" x14ac:dyDescent="0.25">
      <c r="A6" s="30"/>
      <c r="B6" s="3" t="s">
        <v>28</v>
      </c>
      <c r="C6" s="4">
        <v>9418.64</v>
      </c>
      <c r="D6" s="4">
        <v>0</v>
      </c>
      <c r="E6" s="4">
        <v>36137.640000000007</v>
      </c>
      <c r="F6" s="4">
        <v>29961.470000000008</v>
      </c>
      <c r="G6" s="4">
        <v>0</v>
      </c>
      <c r="H6" s="4">
        <v>0</v>
      </c>
      <c r="I6" s="4">
        <v>22842.05</v>
      </c>
      <c r="J6" s="4">
        <v>0</v>
      </c>
      <c r="K6" s="4">
        <v>43454.700000000012</v>
      </c>
      <c r="L6" s="4">
        <v>-3461.15</v>
      </c>
      <c r="M6" s="4">
        <v>8848.84</v>
      </c>
      <c r="N6" s="4">
        <v>0</v>
      </c>
      <c r="O6" s="4">
        <v>22134.42</v>
      </c>
      <c r="P6" s="4">
        <v>40380.340000000004</v>
      </c>
      <c r="Q6" s="4">
        <v>0</v>
      </c>
      <c r="R6" s="4">
        <v>1573.1100000000001</v>
      </c>
      <c r="S6" s="4">
        <v>11114.95</v>
      </c>
      <c r="T6" s="4">
        <v>0</v>
      </c>
      <c r="U6" s="4">
        <v>4207.28</v>
      </c>
      <c r="V6" s="4">
        <v>47983.320000000014</v>
      </c>
    </row>
    <row r="7" spans="1:22" ht="15" customHeight="1" x14ac:dyDescent="0.25">
      <c r="A7" s="30"/>
      <c r="B7" s="3" t="s">
        <v>29</v>
      </c>
      <c r="C7" s="4">
        <v>0</v>
      </c>
      <c r="D7" s="4">
        <v>0</v>
      </c>
      <c r="E7" s="4">
        <v>8731.7999999999993</v>
      </c>
      <c r="F7" s="4">
        <v>-4536.84</v>
      </c>
      <c r="G7" s="4">
        <v>0</v>
      </c>
      <c r="H7" s="4">
        <v>0</v>
      </c>
      <c r="I7" s="4">
        <v>16911.509999999998</v>
      </c>
      <c r="J7" s="4">
        <v>0</v>
      </c>
      <c r="K7" s="4">
        <v>22321.530000000006</v>
      </c>
      <c r="L7" s="4">
        <v>0</v>
      </c>
      <c r="M7" s="4">
        <v>1755.6</v>
      </c>
      <c r="N7" s="4">
        <v>0</v>
      </c>
      <c r="O7" s="4">
        <v>-341.88</v>
      </c>
      <c r="P7" s="4">
        <v>5939.0099999999993</v>
      </c>
      <c r="Q7" s="4">
        <v>0</v>
      </c>
      <c r="R7" s="4">
        <v>0</v>
      </c>
      <c r="S7" s="4">
        <v>1975.05</v>
      </c>
      <c r="T7" s="4">
        <v>0</v>
      </c>
      <c r="U7" s="4">
        <v>0</v>
      </c>
      <c r="V7" s="4">
        <v>1755.6</v>
      </c>
    </row>
    <row r="8" spans="1:22" ht="15" customHeight="1" x14ac:dyDescent="0.25">
      <c r="A8" s="30"/>
      <c r="B8" s="3" t="s">
        <v>30</v>
      </c>
      <c r="C8" s="4">
        <v>6826.82</v>
      </c>
      <c r="D8" s="4">
        <v>0</v>
      </c>
      <c r="E8" s="4">
        <v>0</v>
      </c>
      <c r="F8" s="4">
        <v>2.2737367544323206E-13</v>
      </c>
      <c r="G8" s="4">
        <v>0</v>
      </c>
      <c r="H8" s="4">
        <v>0</v>
      </c>
      <c r="I8" s="4">
        <v>3157</v>
      </c>
      <c r="J8" s="4">
        <v>0</v>
      </c>
      <c r="K8" s="4">
        <v>15637.16</v>
      </c>
      <c r="L8" s="4">
        <v>0</v>
      </c>
      <c r="M8" s="4">
        <v>0</v>
      </c>
      <c r="N8" s="4">
        <v>0</v>
      </c>
      <c r="O8" s="4">
        <v>0</v>
      </c>
      <c r="P8" s="4">
        <v>23281.719999999998</v>
      </c>
      <c r="Q8" s="4">
        <v>0</v>
      </c>
      <c r="R8" s="4">
        <v>0</v>
      </c>
      <c r="S8" s="4">
        <v>0</v>
      </c>
      <c r="T8" s="4">
        <v>117.04</v>
      </c>
      <c r="U8" s="4">
        <v>0</v>
      </c>
      <c r="V8" s="4">
        <v>0</v>
      </c>
    </row>
    <row r="9" spans="1:22" ht="15" customHeight="1" x14ac:dyDescent="0.25">
      <c r="A9" s="30"/>
      <c r="B9" s="3" t="s">
        <v>31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-437.05</v>
      </c>
      <c r="J9" s="4">
        <v>0</v>
      </c>
      <c r="K9" s="4">
        <v>1593.9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ht="15" customHeight="1" x14ac:dyDescent="0.25">
      <c r="A10" s="30"/>
      <c r="B10" s="3" t="s">
        <v>32</v>
      </c>
      <c r="C10" s="4">
        <v>0</v>
      </c>
      <c r="D10" s="4">
        <v>0</v>
      </c>
      <c r="E10" s="4">
        <v>25918.2</v>
      </c>
      <c r="F10" s="4">
        <v>24622.29</v>
      </c>
      <c r="G10" s="4">
        <v>0</v>
      </c>
      <c r="H10" s="4">
        <v>0</v>
      </c>
      <c r="I10" s="4">
        <v>171492.09</v>
      </c>
      <c r="J10" s="4">
        <v>0</v>
      </c>
      <c r="K10" s="4">
        <v>81210.360000000059</v>
      </c>
      <c r="L10" s="4">
        <v>0</v>
      </c>
      <c r="M10" s="4">
        <v>-3023.79</v>
      </c>
      <c r="N10" s="4">
        <v>0</v>
      </c>
      <c r="O10" s="4">
        <v>1295.9100000000001</v>
      </c>
      <c r="P10" s="4">
        <v>63067.619999999988</v>
      </c>
      <c r="Q10" s="4">
        <v>33693.660000000003</v>
      </c>
      <c r="R10" s="4">
        <v>0</v>
      </c>
      <c r="S10" s="4">
        <v>9071.3700000000008</v>
      </c>
      <c r="T10" s="4">
        <v>25486.23000000001</v>
      </c>
      <c r="U10" s="4">
        <v>0</v>
      </c>
      <c r="V10" s="4">
        <v>20734.560000000001</v>
      </c>
    </row>
    <row r="11" spans="1:22" ht="15" customHeight="1" x14ac:dyDescent="0.25">
      <c r="A11" s="30"/>
      <c r="B11" s="3" t="s">
        <v>33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4942.78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ht="15" customHeight="1" x14ac:dyDescent="0.25">
      <c r="A12" s="30"/>
      <c r="B12" s="3" t="s">
        <v>34</v>
      </c>
      <c r="C12" s="4">
        <v>89196.37999999999</v>
      </c>
      <c r="D12" s="4">
        <v>27498.1</v>
      </c>
      <c r="E12" s="4">
        <v>54412.82</v>
      </c>
      <c r="F12" s="4">
        <v>81902.73</v>
      </c>
      <c r="G12" s="4">
        <v>35224.820000000007</v>
      </c>
      <c r="H12" s="4">
        <v>0</v>
      </c>
      <c r="I12" s="4">
        <v>152726.76000000004</v>
      </c>
      <c r="J12" s="4">
        <v>0</v>
      </c>
      <c r="K12" s="4">
        <v>386072.18000000023</v>
      </c>
      <c r="L12" s="4">
        <v>68844.160000000003</v>
      </c>
      <c r="M12" s="4">
        <v>-6934.43</v>
      </c>
      <c r="N12" s="4">
        <v>0</v>
      </c>
      <c r="O12" s="4">
        <v>9433.3299999999981</v>
      </c>
      <c r="P12" s="4">
        <v>62187.069999999992</v>
      </c>
      <c r="Q12" s="4">
        <v>136.91999999999985</v>
      </c>
      <c r="R12" s="4">
        <v>8713.32</v>
      </c>
      <c r="S12" s="4">
        <v>117548.20000000001</v>
      </c>
      <c r="T12" s="4">
        <v>87894.659999999989</v>
      </c>
      <c r="U12" s="4">
        <v>12490.3</v>
      </c>
      <c r="V12" s="4">
        <v>33444.18</v>
      </c>
    </row>
    <row r="13" spans="1:22" ht="15" customHeight="1" x14ac:dyDescent="0.25">
      <c r="A13" s="30"/>
      <c r="B13" s="3" t="s">
        <v>35</v>
      </c>
      <c r="C13" s="4">
        <v>0</v>
      </c>
      <c r="D13" s="4">
        <v>0</v>
      </c>
      <c r="E13" s="4">
        <v>-851.62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-1616.9999999999998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 ht="15" customHeight="1" x14ac:dyDescent="0.25">
      <c r="A14" s="30"/>
      <c r="B14" s="3" t="s">
        <v>36</v>
      </c>
      <c r="C14" s="4">
        <v>34775.509999999995</v>
      </c>
      <c r="D14" s="4">
        <v>0</v>
      </c>
      <c r="E14" s="4">
        <v>3446.5200000000004</v>
      </c>
      <c r="F14" s="4">
        <v>10933.23</v>
      </c>
      <c r="G14" s="4">
        <v>0</v>
      </c>
      <c r="H14" s="4">
        <v>0</v>
      </c>
      <c r="I14" s="4">
        <v>31829.489999999991</v>
      </c>
      <c r="J14" s="4">
        <v>0</v>
      </c>
      <c r="K14" s="4">
        <v>22567.929999999993</v>
      </c>
      <c r="L14" s="4">
        <v>7718.4800000000014</v>
      </c>
      <c r="M14" s="4">
        <v>2745.82</v>
      </c>
      <c r="N14" s="4">
        <v>0</v>
      </c>
      <c r="O14" s="4">
        <v>0</v>
      </c>
      <c r="P14" s="4">
        <v>314.16000000000003</v>
      </c>
      <c r="Q14" s="4">
        <v>0</v>
      </c>
      <c r="R14" s="4">
        <v>0</v>
      </c>
      <c r="S14" s="4">
        <v>0</v>
      </c>
      <c r="T14" s="4">
        <v>-60.830000000000013</v>
      </c>
      <c r="U14" s="4">
        <v>0</v>
      </c>
      <c r="V14" s="4">
        <v>19291.579999999998</v>
      </c>
    </row>
    <row r="15" spans="1:22" ht="15" customHeight="1" x14ac:dyDescent="0.25">
      <c r="A15" s="30"/>
      <c r="B15" s="3" t="s">
        <v>37</v>
      </c>
      <c r="C15" s="4">
        <v>4562.649999999996</v>
      </c>
      <c r="D15" s="4">
        <v>0</v>
      </c>
      <c r="E15" s="4">
        <v>29451.649999999991</v>
      </c>
      <c r="F15" s="4">
        <v>66945.440000000046</v>
      </c>
      <c r="G15" s="4">
        <v>0</v>
      </c>
      <c r="H15" s="4">
        <v>0</v>
      </c>
      <c r="I15" s="4">
        <v>48599.62</v>
      </c>
      <c r="J15" s="4">
        <v>0</v>
      </c>
      <c r="K15" s="4">
        <v>168929.17999999996</v>
      </c>
      <c r="L15" s="4">
        <v>61696.530000000021</v>
      </c>
      <c r="M15" s="4">
        <v>-3954.2000000000003</v>
      </c>
      <c r="N15" s="4">
        <v>0</v>
      </c>
      <c r="O15" s="4">
        <v>15468.610000000008</v>
      </c>
      <c r="P15" s="4">
        <v>8237.3299999999981</v>
      </c>
      <c r="Q15" s="4">
        <v>16457.219999999998</v>
      </c>
      <c r="R15" s="4">
        <v>1096.48</v>
      </c>
      <c r="S15" s="4">
        <v>90070.109999999957</v>
      </c>
      <c r="T15" s="4">
        <v>94169.940000000017</v>
      </c>
      <c r="U15" s="4">
        <v>-270.94999999999993</v>
      </c>
      <c r="V15" s="4">
        <v>71111.810000000012</v>
      </c>
    </row>
    <row r="16" spans="1:22" ht="15" customHeight="1" x14ac:dyDescent="0.25">
      <c r="A16" s="30"/>
      <c r="B16" s="3" t="s">
        <v>38</v>
      </c>
      <c r="C16" s="4">
        <v>13887.720000000001</v>
      </c>
      <c r="D16" s="4">
        <v>0</v>
      </c>
      <c r="E16" s="4">
        <v>9555.7000000000007</v>
      </c>
      <c r="F16" s="4">
        <v>3557.3999999999996</v>
      </c>
      <c r="G16" s="4">
        <v>0</v>
      </c>
      <c r="H16" s="4">
        <v>0</v>
      </c>
      <c r="I16" s="4">
        <v>17582.95</v>
      </c>
      <c r="J16" s="4">
        <v>0</v>
      </c>
      <c r="K16" s="4">
        <v>44682.330000000016</v>
      </c>
      <c r="L16" s="4">
        <v>2286.9</v>
      </c>
      <c r="M16" s="4">
        <v>-200.9699999999998</v>
      </c>
      <c r="N16" s="4">
        <v>0</v>
      </c>
      <c r="O16" s="4">
        <v>5876.64</v>
      </c>
      <c r="P16" s="4">
        <v>3896.2000000000003</v>
      </c>
      <c r="Q16" s="4">
        <v>0</v>
      </c>
      <c r="R16" s="4">
        <v>0</v>
      </c>
      <c r="S16" s="4">
        <v>4972.66</v>
      </c>
      <c r="T16" s="4">
        <v>0</v>
      </c>
      <c r="U16" s="4">
        <v>0</v>
      </c>
      <c r="V16" s="4">
        <v>19481</v>
      </c>
    </row>
    <row r="17" spans="1:22" ht="15" customHeight="1" x14ac:dyDescent="0.25">
      <c r="A17" s="30"/>
      <c r="B17" s="3" t="s">
        <v>39</v>
      </c>
      <c r="C17" s="4">
        <v>12896.729999999998</v>
      </c>
      <c r="D17" s="4">
        <v>0</v>
      </c>
      <c r="E17" s="4">
        <v>4584.58</v>
      </c>
      <c r="F17" s="4">
        <v>38064.950000000012</v>
      </c>
      <c r="G17" s="4">
        <v>0</v>
      </c>
      <c r="H17" s="4">
        <v>0</v>
      </c>
      <c r="I17" s="4">
        <v>128442.15999999993</v>
      </c>
      <c r="J17" s="4">
        <v>0</v>
      </c>
      <c r="K17" s="4">
        <v>59850.559999999998</v>
      </c>
      <c r="L17" s="4">
        <v>20996.360000000008</v>
      </c>
      <c r="M17" s="4">
        <v>46196.150000000038</v>
      </c>
      <c r="N17" s="4">
        <v>0</v>
      </c>
      <c r="O17" s="4">
        <v>4554.5499999999993</v>
      </c>
      <c r="P17" s="4">
        <v>27439.72</v>
      </c>
      <c r="Q17" s="4">
        <v>20579.019999999997</v>
      </c>
      <c r="R17" s="4">
        <v>0</v>
      </c>
      <c r="S17" s="4">
        <v>567.49</v>
      </c>
      <c r="T17" s="4">
        <v>780.78</v>
      </c>
      <c r="U17" s="4">
        <v>10478.16</v>
      </c>
      <c r="V17" s="4">
        <v>64682.30999999999</v>
      </c>
    </row>
    <row r="18" spans="1:22" ht="15" customHeight="1" x14ac:dyDescent="0.25">
      <c r="A18" s="30"/>
      <c r="B18" s="3" t="s">
        <v>40</v>
      </c>
      <c r="C18" s="4">
        <v>0</v>
      </c>
      <c r="D18" s="4">
        <v>0</v>
      </c>
      <c r="E18" s="4">
        <v>0</v>
      </c>
      <c r="F18" s="4">
        <v>-369.6</v>
      </c>
      <c r="G18" s="4">
        <v>0</v>
      </c>
      <c r="H18" s="4">
        <v>0</v>
      </c>
      <c r="I18" s="4">
        <v>0</v>
      </c>
      <c r="J18" s="4">
        <v>0</v>
      </c>
      <c r="K18" s="4">
        <v>-7638.4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ht="15" customHeight="1" x14ac:dyDescent="0.25">
      <c r="A19" s="30"/>
      <c r="B19" s="3" t="s">
        <v>41</v>
      </c>
      <c r="C19" s="4">
        <v>84929.150000000081</v>
      </c>
      <c r="D19" s="4">
        <v>0</v>
      </c>
      <c r="E19" s="4">
        <v>108091.83000000002</v>
      </c>
      <c r="F19" s="4">
        <v>39440.009999999973</v>
      </c>
      <c r="G19" s="4">
        <v>0</v>
      </c>
      <c r="H19" s="4">
        <v>0</v>
      </c>
      <c r="I19" s="4">
        <v>172757.18999999992</v>
      </c>
      <c r="J19" s="4">
        <v>0</v>
      </c>
      <c r="K19" s="4">
        <v>393759.8100000007</v>
      </c>
      <c r="L19" s="4">
        <v>24311.21</v>
      </c>
      <c r="M19" s="4">
        <v>49307.720000000016</v>
      </c>
      <c r="N19" s="4">
        <v>0</v>
      </c>
      <c r="O19" s="4">
        <v>58573.899999999965</v>
      </c>
      <c r="P19" s="4">
        <v>176601.81000000011</v>
      </c>
      <c r="Q19" s="4">
        <v>24089.449999999993</v>
      </c>
      <c r="R19" s="4">
        <v>18454.589999999993</v>
      </c>
      <c r="S19" s="4">
        <v>92637.929999999978</v>
      </c>
      <c r="T19" s="4">
        <v>668.36</v>
      </c>
      <c r="U19" s="4">
        <v>22199.099999999977</v>
      </c>
      <c r="V19" s="4">
        <v>170432.57000000015</v>
      </c>
    </row>
    <row r="20" spans="1:22" ht="15" customHeight="1" x14ac:dyDescent="0.25">
      <c r="A20" s="30"/>
      <c r="B20" s="3" t="s">
        <v>42</v>
      </c>
      <c r="C20" s="4">
        <v>79747.360000000001</v>
      </c>
      <c r="D20" s="4">
        <v>0</v>
      </c>
      <c r="E20" s="4">
        <v>38377.569999999992</v>
      </c>
      <c r="F20" s="4">
        <v>344458.73</v>
      </c>
      <c r="G20" s="4">
        <v>0</v>
      </c>
      <c r="H20" s="4">
        <v>0</v>
      </c>
      <c r="I20" s="4">
        <v>324002.9099999998</v>
      </c>
      <c r="J20" s="4">
        <v>0</v>
      </c>
      <c r="K20" s="4">
        <v>299785.68999999994</v>
      </c>
      <c r="L20" s="4">
        <v>17164.840000000004</v>
      </c>
      <c r="M20" s="4">
        <v>51771.399999999994</v>
      </c>
      <c r="N20" s="4">
        <v>0</v>
      </c>
      <c r="O20" s="4">
        <v>11734.03</v>
      </c>
      <c r="P20" s="4">
        <v>45209.009999999995</v>
      </c>
      <c r="Q20" s="4">
        <v>42973.7</v>
      </c>
      <c r="R20" s="4">
        <v>-4889.5</v>
      </c>
      <c r="S20" s="4">
        <v>37996.42</v>
      </c>
      <c r="T20" s="4">
        <v>48138.09</v>
      </c>
      <c r="U20" s="4">
        <v>14552.349999999999</v>
      </c>
      <c r="V20" s="4">
        <v>74137.91</v>
      </c>
    </row>
    <row r="21" spans="1:22" ht="15" customHeight="1" x14ac:dyDescent="0.25">
      <c r="A21" s="30"/>
      <c r="B21" s="3" t="s">
        <v>43</v>
      </c>
      <c r="C21" s="4">
        <v>0</v>
      </c>
      <c r="D21" s="4">
        <v>0</v>
      </c>
      <c r="E21" s="4">
        <v>0</v>
      </c>
      <c r="F21" s="4">
        <v>2439.36</v>
      </c>
      <c r="G21" s="4">
        <v>0</v>
      </c>
      <c r="H21" s="4">
        <v>0</v>
      </c>
      <c r="I21" s="4">
        <v>209178.19999999998</v>
      </c>
      <c r="J21" s="4">
        <v>0</v>
      </c>
      <c r="K21" s="4">
        <v>813.12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ht="15" customHeight="1" x14ac:dyDescent="0.25">
      <c r="A22" s="30"/>
      <c r="B22" s="3" t="s">
        <v>44</v>
      </c>
      <c r="C22" s="4">
        <v>377803.83999999997</v>
      </c>
      <c r="D22" s="4">
        <v>0</v>
      </c>
      <c r="E22" s="4">
        <v>357290.77999999997</v>
      </c>
      <c r="F22" s="4">
        <v>316023.70999999985</v>
      </c>
      <c r="G22" s="4">
        <v>2428.73</v>
      </c>
      <c r="H22" s="4">
        <v>151536</v>
      </c>
      <c r="I22" s="4">
        <v>233398.64999999994</v>
      </c>
      <c r="J22" s="4">
        <v>73453.380000000019</v>
      </c>
      <c r="K22" s="4">
        <v>793609.79999999993</v>
      </c>
      <c r="L22" s="4">
        <v>149474.71</v>
      </c>
      <c r="M22" s="4">
        <v>280859.9599999999</v>
      </c>
      <c r="N22" s="4">
        <v>0</v>
      </c>
      <c r="O22" s="4">
        <v>2587.1999999999998</v>
      </c>
      <c r="P22" s="4">
        <v>1532372.3800000001</v>
      </c>
      <c r="Q22" s="4">
        <v>13213.2</v>
      </c>
      <c r="R22" s="4">
        <v>8759.52</v>
      </c>
      <c r="S22" s="4">
        <v>289005.78999999998</v>
      </c>
      <c r="T22" s="4">
        <v>70695.390000000029</v>
      </c>
      <c r="U22" s="4">
        <v>2587.1999999999998</v>
      </c>
      <c r="V22" s="4">
        <v>212454.55</v>
      </c>
    </row>
    <row r="23" spans="1:22" ht="15" customHeight="1" x14ac:dyDescent="0.25">
      <c r="A23" s="30"/>
      <c r="B23" s="3" t="s">
        <v>45</v>
      </c>
      <c r="C23" s="4">
        <v>44196.460000000028</v>
      </c>
      <c r="D23" s="4">
        <v>0</v>
      </c>
      <c r="E23" s="4">
        <v>7984.8999999999987</v>
      </c>
      <c r="F23" s="4">
        <v>147903.13999999984</v>
      </c>
      <c r="G23" s="4">
        <v>0</v>
      </c>
      <c r="H23" s="4">
        <v>0</v>
      </c>
      <c r="I23" s="4">
        <v>139808.89999999994</v>
      </c>
      <c r="J23" s="4">
        <v>0</v>
      </c>
      <c r="K23" s="4">
        <v>251568.23999999993</v>
      </c>
      <c r="L23" s="4">
        <v>37597.56</v>
      </c>
      <c r="M23" s="4">
        <v>45997.490000000005</v>
      </c>
      <c r="N23" s="4">
        <v>0</v>
      </c>
      <c r="O23" s="4">
        <v>0</v>
      </c>
      <c r="P23" s="4">
        <v>31958.309999999987</v>
      </c>
      <c r="Q23" s="4">
        <v>-3125.43</v>
      </c>
      <c r="R23" s="4">
        <v>0</v>
      </c>
      <c r="S23" s="4">
        <v>39479.440000000002</v>
      </c>
      <c r="T23" s="4">
        <v>0</v>
      </c>
      <c r="U23" s="4">
        <v>10422.719999999998</v>
      </c>
      <c r="V23" s="4">
        <v>108726.31</v>
      </c>
    </row>
    <row r="24" spans="1:22" ht="15" customHeight="1" x14ac:dyDescent="0.25">
      <c r="A24" s="30"/>
      <c r="B24" s="3" t="s">
        <v>46</v>
      </c>
      <c r="C24" s="4">
        <v>2761.2200000000003</v>
      </c>
      <c r="D24" s="4">
        <v>0</v>
      </c>
      <c r="E24" s="4">
        <v>1255.0999999999999</v>
      </c>
      <c r="F24" s="4">
        <v>-251.02</v>
      </c>
      <c r="G24" s="4">
        <v>0</v>
      </c>
      <c r="H24" s="4">
        <v>0</v>
      </c>
      <c r="I24" s="4">
        <v>13680.589999999997</v>
      </c>
      <c r="J24" s="4">
        <v>0</v>
      </c>
      <c r="K24" s="4">
        <v>37319.589999999989</v>
      </c>
      <c r="L24" s="4">
        <v>2259.1799999999998</v>
      </c>
      <c r="M24" s="4">
        <v>-125.51000000000005</v>
      </c>
      <c r="N24" s="4">
        <v>0</v>
      </c>
      <c r="O24" s="4">
        <v>0</v>
      </c>
      <c r="P24" s="4">
        <v>10166.31</v>
      </c>
      <c r="Q24" s="4">
        <v>-1506.12</v>
      </c>
      <c r="R24" s="4">
        <v>0</v>
      </c>
      <c r="S24" s="4">
        <v>11044.879999999997</v>
      </c>
      <c r="T24" s="4">
        <v>7816.12</v>
      </c>
      <c r="U24" s="4">
        <v>0</v>
      </c>
      <c r="V24" s="4">
        <v>7530.6</v>
      </c>
    </row>
    <row r="25" spans="1:22" ht="15" customHeight="1" x14ac:dyDescent="0.25">
      <c r="A25" s="30"/>
      <c r="B25" s="3" t="s">
        <v>47</v>
      </c>
      <c r="C25" s="4">
        <v>0</v>
      </c>
      <c r="D25" s="4">
        <v>0</v>
      </c>
      <c r="E25" s="4">
        <v>-903.98</v>
      </c>
      <c r="F25" s="4">
        <v>0</v>
      </c>
      <c r="G25" s="4">
        <v>0</v>
      </c>
      <c r="H25" s="4">
        <v>3713.71</v>
      </c>
      <c r="I25" s="4">
        <v>0</v>
      </c>
      <c r="J25" s="4">
        <v>0</v>
      </c>
      <c r="K25" s="4">
        <v>139.3700000000008</v>
      </c>
      <c r="L25" s="4">
        <v>0</v>
      </c>
      <c r="M25" s="4">
        <v>2322.3200000000002</v>
      </c>
      <c r="N25" s="4">
        <v>0</v>
      </c>
      <c r="O25" s="4">
        <v>2093.63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ht="15" customHeight="1" x14ac:dyDescent="0.25">
      <c r="A26" s="30"/>
      <c r="B26" s="3" t="s">
        <v>48</v>
      </c>
      <c r="C26" s="4">
        <v>3465</v>
      </c>
      <c r="D26" s="4">
        <v>0</v>
      </c>
      <c r="E26" s="4">
        <v>65003.4</v>
      </c>
      <c r="F26" s="4">
        <v>0</v>
      </c>
      <c r="G26" s="4">
        <v>0</v>
      </c>
      <c r="H26" s="4">
        <v>0</v>
      </c>
      <c r="I26" s="4">
        <v>126126</v>
      </c>
      <c r="J26" s="4">
        <v>0</v>
      </c>
      <c r="K26" s="4">
        <v>12328.47</v>
      </c>
      <c r="L26" s="4">
        <v>16632</v>
      </c>
      <c r="M26" s="4">
        <v>0</v>
      </c>
      <c r="N26" s="4">
        <v>0</v>
      </c>
      <c r="O26" s="4">
        <v>0</v>
      </c>
      <c r="P26" s="4">
        <v>1081.08</v>
      </c>
      <c r="Q26" s="4">
        <v>0</v>
      </c>
      <c r="R26" s="4">
        <v>0</v>
      </c>
      <c r="S26" s="4">
        <v>48295.17</v>
      </c>
      <c r="T26" s="4">
        <v>0</v>
      </c>
      <c r="U26" s="4">
        <v>0</v>
      </c>
      <c r="V26" s="4">
        <v>81774</v>
      </c>
    </row>
    <row r="27" spans="1:22" ht="15" customHeight="1" x14ac:dyDescent="0.25">
      <c r="A27" s="30"/>
      <c r="B27" s="3" t="s">
        <v>49</v>
      </c>
      <c r="C27" s="4">
        <v>406.56</v>
      </c>
      <c r="D27" s="4">
        <v>0</v>
      </c>
      <c r="E27" s="4">
        <v>21954.240000000002</v>
      </c>
      <c r="F27" s="4">
        <v>-1201.2</v>
      </c>
      <c r="G27" s="4">
        <v>0</v>
      </c>
      <c r="H27" s="4">
        <v>0</v>
      </c>
      <c r="I27" s="4">
        <v>35786.520000000004</v>
      </c>
      <c r="J27" s="4">
        <v>0</v>
      </c>
      <c r="K27" s="4">
        <v>19606.510000000002</v>
      </c>
      <c r="L27" s="4">
        <v>0</v>
      </c>
      <c r="M27" s="4">
        <v>3659.0400000000004</v>
      </c>
      <c r="N27" s="4">
        <v>0</v>
      </c>
      <c r="O27" s="4">
        <v>-1778.7</v>
      </c>
      <c r="P27" s="4">
        <v>6098.4000000000005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ht="15" customHeight="1" x14ac:dyDescent="0.25">
      <c r="A28" s="30"/>
      <c r="B28" s="3" t="s">
        <v>50</v>
      </c>
      <c r="C28" s="4">
        <v>109736.86000000002</v>
      </c>
      <c r="D28" s="4">
        <v>0</v>
      </c>
      <c r="E28" s="4">
        <v>91159.009999999966</v>
      </c>
      <c r="F28" s="4">
        <v>186379.27000000014</v>
      </c>
      <c r="G28" s="4">
        <v>0</v>
      </c>
      <c r="H28" s="4">
        <v>0</v>
      </c>
      <c r="I28" s="4">
        <v>693262.23</v>
      </c>
      <c r="J28" s="4">
        <v>0</v>
      </c>
      <c r="K28" s="4">
        <v>969440.47000000055</v>
      </c>
      <c r="L28" s="4">
        <v>76838.300000000017</v>
      </c>
      <c r="M28" s="4">
        <v>44127.93</v>
      </c>
      <c r="N28" s="4">
        <v>0</v>
      </c>
      <c r="O28" s="4">
        <v>2966.04</v>
      </c>
      <c r="P28" s="4">
        <v>184296.42000000007</v>
      </c>
      <c r="Q28" s="4">
        <v>58640.119999999995</v>
      </c>
      <c r="R28" s="4">
        <v>18326.77</v>
      </c>
      <c r="S28" s="4">
        <v>359101.02000000037</v>
      </c>
      <c r="T28" s="4">
        <v>425433.8600000008</v>
      </c>
      <c r="U28" s="4">
        <v>716.1</v>
      </c>
      <c r="V28" s="4">
        <v>219727.97000000012</v>
      </c>
    </row>
    <row r="29" spans="1:22" ht="15" customHeight="1" x14ac:dyDescent="0.25">
      <c r="A29" s="30"/>
      <c r="B29" s="3" t="s">
        <v>51</v>
      </c>
      <c r="C29" s="4">
        <v>2152.92</v>
      </c>
      <c r="D29" s="4">
        <v>0</v>
      </c>
      <c r="E29" s="4">
        <v>1502.2700000000002</v>
      </c>
      <c r="F29" s="4">
        <v>0</v>
      </c>
      <c r="G29" s="4">
        <v>0</v>
      </c>
      <c r="H29" s="4">
        <v>0</v>
      </c>
      <c r="I29" s="4">
        <v>338.03000000000037</v>
      </c>
      <c r="J29" s="4">
        <v>0</v>
      </c>
      <c r="K29" s="4">
        <v>76899.12999999999</v>
      </c>
      <c r="L29" s="4">
        <v>0</v>
      </c>
      <c r="M29" s="4">
        <v>0</v>
      </c>
      <c r="N29" s="4">
        <v>0</v>
      </c>
      <c r="O29" s="4">
        <v>-231</v>
      </c>
      <c r="P29" s="4">
        <v>1977.3600000000001</v>
      </c>
      <c r="Q29" s="4">
        <v>-830.06</v>
      </c>
      <c r="R29" s="4">
        <v>0</v>
      </c>
      <c r="S29" s="4">
        <v>3500.42</v>
      </c>
      <c r="T29" s="4">
        <v>21003.289999999994</v>
      </c>
      <c r="U29" s="4">
        <v>0</v>
      </c>
      <c r="V29" s="4">
        <v>12053.58</v>
      </c>
    </row>
    <row r="30" spans="1:22" ht="15" customHeight="1" x14ac:dyDescent="0.25">
      <c r="A30" s="30"/>
      <c r="B30" s="3" t="s">
        <v>52</v>
      </c>
      <c r="C30" s="4">
        <v>5026.5599999999995</v>
      </c>
      <c r="D30" s="4">
        <v>0</v>
      </c>
      <c r="E30" s="4">
        <v>57211</v>
      </c>
      <c r="F30" s="4">
        <v>34832.629999999997</v>
      </c>
      <c r="G30" s="4">
        <v>0</v>
      </c>
      <c r="H30" s="4">
        <v>0</v>
      </c>
      <c r="I30" s="4">
        <v>122994.84000000008</v>
      </c>
      <c r="J30" s="4">
        <v>0</v>
      </c>
      <c r="K30" s="4">
        <v>134022.49</v>
      </c>
      <c r="L30" s="4">
        <v>6060.67</v>
      </c>
      <c r="M30" s="4">
        <v>-5037.7900000000009</v>
      </c>
      <c r="N30" s="4">
        <v>0</v>
      </c>
      <c r="O30" s="4">
        <v>0</v>
      </c>
      <c r="P30" s="4">
        <v>93380.67</v>
      </c>
      <c r="Q30" s="4">
        <v>0</v>
      </c>
      <c r="R30" s="4">
        <v>0</v>
      </c>
      <c r="S30" s="4">
        <v>75136.599999999991</v>
      </c>
      <c r="T30" s="4">
        <v>78855.700000000012</v>
      </c>
      <c r="U30" s="4">
        <v>0</v>
      </c>
      <c r="V30" s="4">
        <v>61254.62</v>
      </c>
    </row>
    <row r="31" spans="1:22" ht="15" customHeight="1" x14ac:dyDescent="0.25">
      <c r="A31" s="30"/>
      <c r="B31" s="3" t="s">
        <v>53</v>
      </c>
      <c r="C31" s="4">
        <v>12983.740000000002</v>
      </c>
      <c r="D31" s="4">
        <v>0</v>
      </c>
      <c r="E31" s="4">
        <v>-1131.9000000000001</v>
      </c>
      <c r="F31" s="4">
        <v>18036.48</v>
      </c>
      <c r="G31" s="4">
        <v>0</v>
      </c>
      <c r="H31" s="4">
        <v>0</v>
      </c>
      <c r="I31" s="4">
        <v>0</v>
      </c>
      <c r="J31" s="4">
        <v>0</v>
      </c>
      <c r="K31" s="4">
        <v>72423.119999999966</v>
      </c>
      <c r="L31" s="4">
        <v>0</v>
      </c>
      <c r="M31" s="4">
        <v>0</v>
      </c>
      <c r="N31" s="4">
        <v>0</v>
      </c>
      <c r="O31" s="4">
        <v>-4656.9600000000009</v>
      </c>
      <c r="P31" s="4">
        <v>13172.390000000001</v>
      </c>
      <c r="Q31" s="4">
        <v>0</v>
      </c>
      <c r="R31" s="4">
        <v>0</v>
      </c>
      <c r="S31" s="4">
        <v>2049.7400000000002</v>
      </c>
      <c r="T31" s="4">
        <v>0</v>
      </c>
      <c r="U31" s="4">
        <v>0</v>
      </c>
      <c r="V31" s="4">
        <v>7979.51</v>
      </c>
    </row>
    <row r="32" spans="1:22" ht="15" customHeight="1" x14ac:dyDescent="0.25">
      <c r="A32" s="30"/>
      <c r="B32" s="3" t="s">
        <v>54</v>
      </c>
      <c r="C32" s="4">
        <v>6707.4699999999993</v>
      </c>
      <c r="D32" s="4">
        <v>0</v>
      </c>
      <c r="E32" s="4">
        <v>-105.49</v>
      </c>
      <c r="F32" s="4">
        <v>0</v>
      </c>
      <c r="G32" s="4">
        <v>0</v>
      </c>
      <c r="H32" s="4">
        <v>0</v>
      </c>
      <c r="I32" s="4">
        <v>193194.0800000001</v>
      </c>
      <c r="J32" s="4">
        <v>0</v>
      </c>
      <c r="K32" s="4">
        <v>20504.179999999997</v>
      </c>
      <c r="L32" s="4">
        <v>11323.619999999999</v>
      </c>
      <c r="M32" s="4">
        <v>6652.7999999999993</v>
      </c>
      <c r="N32" s="4">
        <v>0</v>
      </c>
      <c r="O32" s="4">
        <v>924</v>
      </c>
      <c r="P32" s="4">
        <v>-1911.91</v>
      </c>
      <c r="Q32" s="4">
        <v>-2217.6</v>
      </c>
      <c r="R32" s="4">
        <v>0</v>
      </c>
      <c r="S32" s="4">
        <v>209.44000000000003</v>
      </c>
      <c r="T32" s="4">
        <v>0</v>
      </c>
      <c r="U32" s="4">
        <v>0</v>
      </c>
      <c r="V32" s="4">
        <v>6278.58</v>
      </c>
    </row>
    <row r="33" spans="1:22" ht="15" customHeight="1" x14ac:dyDescent="0.25">
      <c r="A33" s="30"/>
      <c r="B33" s="3" t="s">
        <v>55</v>
      </c>
      <c r="C33" s="4">
        <v>3334.8700000000003</v>
      </c>
      <c r="D33" s="4">
        <v>0</v>
      </c>
      <c r="E33" s="4">
        <v>10417.02</v>
      </c>
      <c r="F33" s="4">
        <v>13162.380000000001</v>
      </c>
      <c r="G33" s="4">
        <v>0</v>
      </c>
      <c r="H33" s="4">
        <v>0</v>
      </c>
      <c r="I33" s="4">
        <v>17901.57</v>
      </c>
      <c r="J33" s="4">
        <v>0</v>
      </c>
      <c r="K33" s="4">
        <v>11324.229999999998</v>
      </c>
      <c r="L33" s="4">
        <v>7193.3399999999983</v>
      </c>
      <c r="M33" s="4">
        <v>13761.439999999997</v>
      </c>
      <c r="N33" s="4">
        <v>0</v>
      </c>
      <c r="O33" s="4">
        <v>1164.24</v>
      </c>
      <c r="P33" s="4">
        <v>1413.72</v>
      </c>
      <c r="Q33" s="4">
        <v>7210.2800000000016</v>
      </c>
      <c r="R33" s="4">
        <v>0</v>
      </c>
      <c r="S33" s="4">
        <v>5780.3899999999994</v>
      </c>
      <c r="T33" s="4">
        <v>135.52000000000001</v>
      </c>
      <c r="U33" s="4">
        <v>2367.75</v>
      </c>
      <c r="V33" s="4">
        <v>36393.279999999992</v>
      </c>
    </row>
    <row r="34" spans="1:22" ht="15" customHeight="1" x14ac:dyDescent="0.25">
      <c r="A34" s="30"/>
      <c r="B34" s="3" t="s">
        <v>56</v>
      </c>
      <c r="C34" s="4">
        <v>14828.659999999998</v>
      </c>
      <c r="D34" s="4">
        <v>0</v>
      </c>
      <c r="E34" s="4">
        <v>16531.899999999994</v>
      </c>
      <c r="F34" s="4">
        <v>83870.559999999881</v>
      </c>
      <c r="G34" s="4">
        <v>-4764.76</v>
      </c>
      <c r="H34" s="4">
        <v>0</v>
      </c>
      <c r="I34" s="4">
        <v>62514.759999999987</v>
      </c>
      <c r="J34" s="4">
        <v>0</v>
      </c>
      <c r="K34" s="4">
        <v>330652.62999999983</v>
      </c>
      <c r="L34" s="4">
        <v>12409.320000000003</v>
      </c>
      <c r="M34" s="4">
        <v>46680.480000000003</v>
      </c>
      <c r="N34" s="4">
        <v>0</v>
      </c>
      <c r="O34" s="4">
        <v>0</v>
      </c>
      <c r="P34" s="4">
        <v>45696.42</v>
      </c>
      <c r="Q34" s="4">
        <v>1044.1199999999999</v>
      </c>
      <c r="R34" s="4">
        <v>0</v>
      </c>
      <c r="S34" s="4">
        <v>16563.469999999998</v>
      </c>
      <c r="T34" s="4">
        <v>141263.43000000002</v>
      </c>
      <c r="U34" s="4">
        <v>4727.8</v>
      </c>
      <c r="V34" s="4">
        <v>112437.71</v>
      </c>
    </row>
    <row r="35" spans="1:22" ht="15" customHeight="1" x14ac:dyDescent="0.25">
      <c r="A35" s="30"/>
      <c r="B35" s="3" t="s">
        <v>57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3584.35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ht="15" customHeight="1" x14ac:dyDescent="0.25">
      <c r="A36" s="30"/>
      <c r="B36" s="3" t="s">
        <v>58</v>
      </c>
      <c r="C36" s="4">
        <v>84648.409999999989</v>
      </c>
      <c r="D36" s="4">
        <v>0</v>
      </c>
      <c r="E36" s="4">
        <v>77174.02</v>
      </c>
      <c r="F36" s="4">
        <v>120618.19000000002</v>
      </c>
      <c r="G36" s="4">
        <v>23737.56</v>
      </c>
      <c r="H36" s="4">
        <v>0</v>
      </c>
      <c r="I36" s="4">
        <v>372263.42999999982</v>
      </c>
      <c r="J36" s="4">
        <v>0</v>
      </c>
      <c r="K36" s="4">
        <v>891792.43999999971</v>
      </c>
      <c r="L36" s="4">
        <v>205569.90000000017</v>
      </c>
      <c r="M36" s="4">
        <v>34975.530000000006</v>
      </c>
      <c r="N36" s="4">
        <v>0</v>
      </c>
      <c r="O36" s="4">
        <v>51531.479999999989</v>
      </c>
      <c r="P36" s="4">
        <v>250928.99000000005</v>
      </c>
      <c r="Q36" s="4">
        <v>-5022.8599999999997</v>
      </c>
      <c r="R36" s="4">
        <v>0</v>
      </c>
      <c r="S36" s="4">
        <v>253599.92000000013</v>
      </c>
      <c r="T36" s="4">
        <v>21468.160000000007</v>
      </c>
      <c r="U36" s="4">
        <v>1039.5</v>
      </c>
      <c r="V36" s="4">
        <v>301661.53999999998</v>
      </c>
    </row>
    <row r="37" spans="1:22" ht="15" customHeight="1" x14ac:dyDescent="0.25">
      <c r="A37" s="30"/>
      <c r="B37" s="3" t="s">
        <v>59</v>
      </c>
      <c r="C37" s="4">
        <v>0</v>
      </c>
      <c r="D37" s="4">
        <v>0</v>
      </c>
      <c r="E37" s="4">
        <v>-375.76</v>
      </c>
      <c r="F37" s="4">
        <v>0</v>
      </c>
      <c r="G37" s="4">
        <v>0</v>
      </c>
      <c r="H37" s="4">
        <v>0</v>
      </c>
      <c r="I37" s="4">
        <v>-298.76</v>
      </c>
      <c r="J37" s="4">
        <v>0</v>
      </c>
      <c r="K37" s="4">
        <v>-1056.44</v>
      </c>
      <c r="L37" s="4">
        <v>-1358.28</v>
      </c>
      <c r="M37" s="4">
        <v>0</v>
      </c>
      <c r="N37" s="4">
        <v>0</v>
      </c>
      <c r="O37" s="4">
        <v>-2188.34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ht="15" customHeight="1" x14ac:dyDescent="0.25">
      <c r="A38" s="30"/>
      <c r="B38" s="3" t="s">
        <v>60</v>
      </c>
      <c r="C38" s="4">
        <v>0</v>
      </c>
      <c r="D38" s="4">
        <v>0</v>
      </c>
      <c r="E38" s="4">
        <v>-166.32</v>
      </c>
      <c r="F38" s="4">
        <v>-1149.6100000000001</v>
      </c>
      <c r="G38" s="4">
        <v>0</v>
      </c>
      <c r="H38" s="4">
        <v>0</v>
      </c>
      <c r="I38" s="4">
        <v>0</v>
      </c>
      <c r="J38" s="4">
        <v>0</v>
      </c>
      <c r="K38" s="4">
        <v>-16774.45</v>
      </c>
      <c r="L38" s="4">
        <v>0</v>
      </c>
      <c r="M38" s="4">
        <v>0</v>
      </c>
      <c r="N38" s="4">
        <v>0</v>
      </c>
      <c r="O38" s="4">
        <v>0</v>
      </c>
      <c r="P38" s="4">
        <v>-83.16</v>
      </c>
      <c r="Q38" s="4">
        <v>0</v>
      </c>
      <c r="R38" s="4">
        <v>0</v>
      </c>
      <c r="S38" s="4">
        <v>-1534.6100000000001</v>
      </c>
      <c r="T38" s="4">
        <v>0</v>
      </c>
      <c r="U38" s="4">
        <v>0</v>
      </c>
      <c r="V38" s="4">
        <v>0</v>
      </c>
    </row>
    <row r="39" spans="1:22" ht="15" customHeight="1" x14ac:dyDescent="0.25">
      <c r="A39" s="30"/>
      <c r="B39" s="3" t="s">
        <v>61</v>
      </c>
      <c r="C39" s="4">
        <v>0</v>
      </c>
      <c r="D39" s="4">
        <v>0</v>
      </c>
      <c r="E39" s="4">
        <v>-36511.089999999997</v>
      </c>
      <c r="F39" s="4">
        <v>-3068.45</v>
      </c>
      <c r="G39" s="4">
        <v>0</v>
      </c>
      <c r="H39" s="4">
        <v>0</v>
      </c>
      <c r="I39" s="4">
        <v>-20773.060000000001</v>
      </c>
      <c r="J39" s="4">
        <v>0</v>
      </c>
      <c r="K39" s="4">
        <v>-15422.33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-3118.5</v>
      </c>
      <c r="T39" s="4">
        <v>0</v>
      </c>
      <c r="U39" s="4">
        <v>0</v>
      </c>
      <c r="V39" s="4">
        <v>0</v>
      </c>
    </row>
    <row r="40" spans="1:22" ht="15" customHeight="1" x14ac:dyDescent="0.25">
      <c r="A40" s="30"/>
      <c r="B40" s="3" t="s">
        <v>62</v>
      </c>
      <c r="C40" s="4">
        <v>0</v>
      </c>
      <c r="D40" s="4">
        <v>0</v>
      </c>
      <c r="E40" s="4">
        <v>-2602.6000000000004</v>
      </c>
      <c r="F40" s="4">
        <v>20409.620000000003</v>
      </c>
      <c r="G40" s="4">
        <v>0</v>
      </c>
      <c r="H40" s="4">
        <v>0</v>
      </c>
      <c r="I40" s="4">
        <v>87111.64</v>
      </c>
      <c r="J40" s="4">
        <v>0</v>
      </c>
      <c r="K40" s="4">
        <v>107153.97000000003</v>
      </c>
      <c r="L40" s="4">
        <v>22830.5</v>
      </c>
      <c r="M40" s="4">
        <v>12664.96</v>
      </c>
      <c r="N40" s="4">
        <v>0</v>
      </c>
      <c r="O40" s="4">
        <v>-7764.68</v>
      </c>
      <c r="P40" s="4">
        <v>34648.459999999985</v>
      </c>
      <c r="Q40" s="4">
        <v>1958.88</v>
      </c>
      <c r="R40" s="4">
        <v>0</v>
      </c>
      <c r="S40" s="4">
        <v>431.2</v>
      </c>
      <c r="T40" s="4">
        <v>1193.5</v>
      </c>
      <c r="U40" s="4">
        <v>0</v>
      </c>
      <c r="V40" s="4">
        <v>45372.25</v>
      </c>
    </row>
    <row r="41" spans="1:22" ht="15" customHeight="1" x14ac:dyDescent="0.25">
      <c r="A41" s="30"/>
      <c r="B41" s="3" t="s">
        <v>63</v>
      </c>
      <c r="C41" s="4">
        <v>35975.010000000017</v>
      </c>
      <c r="D41" s="4">
        <v>428919.82000000007</v>
      </c>
      <c r="E41" s="4">
        <v>83252.17</v>
      </c>
      <c r="F41" s="4">
        <v>163479.16999999998</v>
      </c>
      <c r="G41" s="4">
        <v>22792</v>
      </c>
      <c r="H41" s="4">
        <v>0</v>
      </c>
      <c r="I41" s="4">
        <v>213661.83999999994</v>
      </c>
      <c r="J41" s="4">
        <v>0</v>
      </c>
      <c r="K41" s="4">
        <v>637564.3199999996</v>
      </c>
      <c r="L41" s="4">
        <v>71252.560000000012</v>
      </c>
      <c r="M41" s="4">
        <v>48703.580000000009</v>
      </c>
      <c r="N41" s="4">
        <v>0</v>
      </c>
      <c r="O41" s="4">
        <v>1275.1199999999999</v>
      </c>
      <c r="P41" s="4">
        <v>193000.43000000002</v>
      </c>
      <c r="Q41" s="4">
        <v>30387.359999999997</v>
      </c>
      <c r="R41" s="4">
        <v>0</v>
      </c>
      <c r="S41" s="4">
        <v>325221.0499999997</v>
      </c>
      <c r="T41" s="4">
        <v>262951.92000000004</v>
      </c>
      <c r="U41" s="4">
        <v>5174.3999999999996</v>
      </c>
      <c r="V41" s="4">
        <v>117850.81</v>
      </c>
    </row>
    <row r="42" spans="1:22" ht="15" customHeight="1" x14ac:dyDescent="0.25">
      <c r="A42" s="30"/>
      <c r="B42" s="3" t="s">
        <v>64</v>
      </c>
      <c r="C42" s="4">
        <v>99287.799999999974</v>
      </c>
      <c r="D42" s="4">
        <v>0</v>
      </c>
      <c r="E42" s="4">
        <v>108089.51999999999</v>
      </c>
      <c r="F42" s="4">
        <v>37710.75</v>
      </c>
      <c r="G42" s="4">
        <v>0</v>
      </c>
      <c r="H42" s="4">
        <v>0</v>
      </c>
      <c r="I42" s="4">
        <v>164980.19999999995</v>
      </c>
      <c r="J42" s="4">
        <v>0</v>
      </c>
      <c r="K42" s="4">
        <v>549870.24</v>
      </c>
      <c r="L42" s="4">
        <v>33183.920000000006</v>
      </c>
      <c r="M42" s="4">
        <v>11943.47</v>
      </c>
      <c r="N42" s="4">
        <v>0</v>
      </c>
      <c r="O42" s="4">
        <v>0</v>
      </c>
      <c r="P42" s="4">
        <v>205711.65999999997</v>
      </c>
      <c r="Q42" s="4">
        <v>7410.48</v>
      </c>
      <c r="R42" s="4">
        <v>0</v>
      </c>
      <c r="S42" s="4">
        <v>44244.969999999987</v>
      </c>
      <c r="T42" s="4">
        <v>46385.569999999992</v>
      </c>
      <c r="U42" s="4">
        <v>20839.28</v>
      </c>
      <c r="V42" s="4">
        <v>99639.54</v>
      </c>
    </row>
    <row r="43" spans="1:22" ht="15" customHeight="1" x14ac:dyDescent="0.25">
      <c r="A43" s="30"/>
      <c r="B43" s="3" t="s">
        <v>65</v>
      </c>
      <c r="C43" s="4">
        <v>1700.16</v>
      </c>
      <c r="D43" s="4">
        <v>0</v>
      </c>
      <c r="E43" s="4">
        <v>1469.16</v>
      </c>
      <c r="F43" s="4">
        <v>850.08</v>
      </c>
      <c r="G43" s="4">
        <v>0</v>
      </c>
      <c r="H43" s="4">
        <v>0</v>
      </c>
      <c r="I43" s="4">
        <v>39519.480000000003</v>
      </c>
      <c r="J43" s="4">
        <v>0</v>
      </c>
      <c r="K43" s="4">
        <v>46705.119999999995</v>
      </c>
      <c r="L43" s="4">
        <v>9369.36</v>
      </c>
      <c r="M43" s="4">
        <v>4222.68</v>
      </c>
      <c r="N43" s="4">
        <v>0</v>
      </c>
      <c r="O43" s="4">
        <v>0</v>
      </c>
      <c r="P43" s="4">
        <v>1718.6399999999999</v>
      </c>
      <c r="Q43" s="4">
        <v>-389.47</v>
      </c>
      <c r="R43" s="4">
        <v>0</v>
      </c>
      <c r="S43" s="4">
        <v>12098.24</v>
      </c>
      <c r="T43" s="4">
        <v>72.38</v>
      </c>
      <c r="U43" s="4">
        <v>0</v>
      </c>
      <c r="V43" s="4">
        <v>24516.800000000003</v>
      </c>
    </row>
    <row r="44" spans="1:22" ht="15" customHeight="1" x14ac:dyDescent="0.25">
      <c r="A44" s="30"/>
      <c r="B44" s="3" t="s">
        <v>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11058.580000000002</v>
      </c>
      <c r="J44" s="4">
        <v>0</v>
      </c>
      <c r="K44" s="4">
        <v>12178.32</v>
      </c>
      <c r="L44" s="4">
        <v>5266.7999999999993</v>
      </c>
      <c r="M44" s="4">
        <v>0</v>
      </c>
      <c r="N44" s="4">
        <v>0</v>
      </c>
      <c r="O44" s="4">
        <v>0</v>
      </c>
      <c r="P44" s="4">
        <v>292.60000000000002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ht="15" customHeight="1" x14ac:dyDescent="0.25">
      <c r="A45" s="30"/>
      <c r="B45" s="3" t="s">
        <v>67</v>
      </c>
      <c r="C45" s="4">
        <v>0</v>
      </c>
      <c r="D45" s="4">
        <v>0</v>
      </c>
      <c r="E45" s="4">
        <v>0</v>
      </c>
      <c r="F45" s="4">
        <v>-245.62999999999997</v>
      </c>
      <c r="G45" s="4">
        <v>0</v>
      </c>
      <c r="H45" s="4">
        <v>0</v>
      </c>
      <c r="I45" s="4">
        <v>-31312.67</v>
      </c>
      <c r="J45" s="4">
        <v>0</v>
      </c>
      <c r="K45" s="4">
        <v>-14234.219999999998</v>
      </c>
      <c r="L45" s="4">
        <v>-1433.74</v>
      </c>
      <c r="M45" s="4">
        <v>-757.68000000000006</v>
      </c>
      <c r="N45" s="4">
        <v>0</v>
      </c>
      <c r="O45" s="4">
        <v>0</v>
      </c>
      <c r="P45" s="4">
        <v>-694.54</v>
      </c>
      <c r="Q45" s="4">
        <v>0</v>
      </c>
      <c r="R45" s="4">
        <v>0</v>
      </c>
      <c r="S45" s="4">
        <v>-113.96</v>
      </c>
      <c r="T45" s="4">
        <v>-56.98</v>
      </c>
      <c r="U45" s="4">
        <v>0</v>
      </c>
      <c r="V45" s="4">
        <v>0</v>
      </c>
    </row>
    <row r="46" spans="1:22" ht="15" customHeight="1" x14ac:dyDescent="0.25">
      <c r="A46" s="30"/>
      <c r="B46" s="3" t="s">
        <v>68</v>
      </c>
      <c r="C46" s="4">
        <v>27646.080000000002</v>
      </c>
      <c r="D46" s="4">
        <v>0</v>
      </c>
      <c r="E46" s="4">
        <v>31822.560000000001</v>
      </c>
      <c r="F46" s="4">
        <v>22876.7</v>
      </c>
      <c r="G46" s="4">
        <v>0</v>
      </c>
      <c r="H46" s="4">
        <v>0</v>
      </c>
      <c r="I46" s="4">
        <v>806.19000000000096</v>
      </c>
      <c r="J46" s="4">
        <v>0</v>
      </c>
      <c r="K46" s="4">
        <v>24075.590000000004</v>
      </c>
      <c r="L46" s="4">
        <v>7669.2</v>
      </c>
      <c r="M46" s="4">
        <v>7287.2800000000007</v>
      </c>
      <c r="N46" s="4">
        <v>0</v>
      </c>
      <c r="O46" s="4">
        <v>0</v>
      </c>
      <c r="P46" s="4">
        <v>-1338.26</v>
      </c>
      <c r="Q46" s="4">
        <v>0</v>
      </c>
      <c r="R46" s="4">
        <v>0</v>
      </c>
      <c r="S46" s="4">
        <v>511.28</v>
      </c>
      <c r="T46" s="4">
        <v>31794.07</v>
      </c>
      <c r="U46" s="4">
        <v>0</v>
      </c>
      <c r="V46" s="4">
        <v>5240.6200000000008</v>
      </c>
    </row>
    <row r="47" spans="1:22" ht="15" customHeight="1" x14ac:dyDescent="0.25">
      <c r="A47" s="30"/>
      <c r="B47" s="3" t="s">
        <v>69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6431.04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15" customHeight="1" x14ac:dyDescent="0.25">
      <c r="A48" s="30"/>
      <c r="B48" s="3" t="s">
        <v>70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2718.7200000000003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8648.64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ht="15" customHeight="1" x14ac:dyDescent="0.25">
      <c r="A49" s="30"/>
      <c r="B49" s="3" t="s">
        <v>71</v>
      </c>
      <c r="C49" s="4">
        <v>20835.050000000003</v>
      </c>
      <c r="D49" s="4">
        <v>0</v>
      </c>
      <c r="E49" s="4">
        <v>12410.71</v>
      </c>
      <c r="F49" s="4">
        <v>14452.899999999998</v>
      </c>
      <c r="G49" s="4">
        <v>0</v>
      </c>
      <c r="H49" s="4">
        <v>0</v>
      </c>
      <c r="I49" s="4">
        <v>7546.23</v>
      </c>
      <c r="J49" s="4">
        <v>0</v>
      </c>
      <c r="K49" s="4">
        <v>79703.31</v>
      </c>
      <c r="L49" s="4">
        <v>18744.879999999997</v>
      </c>
      <c r="M49" s="4">
        <v>10537.45</v>
      </c>
      <c r="N49" s="4">
        <v>0</v>
      </c>
      <c r="O49" s="4">
        <v>0</v>
      </c>
      <c r="P49" s="4">
        <v>29429.399999999994</v>
      </c>
      <c r="Q49" s="4">
        <v>9280.0400000000009</v>
      </c>
      <c r="R49" s="4">
        <v>0</v>
      </c>
      <c r="S49" s="4">
        <v>18578.560000000001</v>
      </c>
      <c r="T49" s="4">
        <v>3582.8100000000004</v>
      </c>
      <c r="U49" s="4">
        <v>0</v>
      </c>
      <c r="V49" s="4">
        <v>25247.530000000002</v>
      </c>
    </row>
    <row r="50" spans="1:22" ht="15" customHeight="1" x14ac:dyDescent="0.25">
      <c r="A50" s="30"/>
      <c r="B50" s="3" t="s">
        <v>72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11221.98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ht="15" customHeight="1" x14ac:dyDescent="0.25">
      <c r="A51" s="30"/>
      <c r="B51" s="3" t="s">
        <v>73</v>
      </c>
      <c r="C51" s="4">
        <v>106.18999999999971</v>
      </c>
      <c r="D51" s="4">
        <v>0</v>
      </c>
      <c r="E51" s="4">
        <v>28078.049999999996</v>
      </c>
      <c r="F51" s="4">
        <v>17327.310000000001</v>
      </c>
      <c r="G51" s="4">
        <v>0</v>
      </c>
      <c r="H51" s="4">
        <v>0</v>
      </c>
      <c r="I51" s="4">
        <v>66851.329999999987</v>
      </c>
      <c r="J51" s="4">
        <v>0</v>
      </c>
      <c r="K51" s="4">
        <v>268891.27999999997</v>
      </c>
      <c r="L51" s="4">
        <v>0</v>
      </c>
      <c r="M51" s="4">
        <v>2365.44</v>
      </c>
      <c r="N51" s="4">
        <v>0</v>
      </c>
      <c r="O51" s="4">
        <v>125930.42000000007</v>
      </c>
      <c r="P51" s="4">
        <v>46700.499999999985</v>
      </c>
      <c r="Q51" s="4">
        <v>-9139.1299999999992</v>
      </c>
      <c r="R51" s="4">
        <v>0</v>
      </c>
      <c r="S51" s="4">
        <v>510525.40000000008</v>
      </c>
      <c r="T51" s="4">
        <v>434.28000000000003</v>
      </c>
      <c r="U51" s="4">
        <v>0</v>
      </c>
      <c r="V51" s="4">
        <v>18868.850000000002</v>
      </c>
    </row>
    <row r="52" spans="1:22" ht="15" customHeight="1" x14ac:dyDescent="0.25">
      <c r="A52" s="30"/>
      <c r="B52" s="3" t="s">
        <v>74</v>
      </c>
      <c r="C52" s="4">
        <v>3141.6</v>
      </c>
      <c r="D52" s="4">
        <v>0</v>
      </c>
      <c r="E52" s="4">
        <v>21252</v>
      </c>
      <c r="F52" s="4">
        <v>0</v>
      </c>
      <c r="G52" s="4">
        <v>0</v>
      </c>
      <c r="H52" s="4">
        <v>0</v>
      </c>
      <c r="I52" s="4">
        <v>22674.959999999999</v>
      </c>
      <c r="J52" s="4">
        <v>0</v>
      </c>
      <c r="K52" s="4">
        <v>45922.800000000017</v>
      </c>
      <c r="L52" s="4">
        <v>0</v>
      </c>
      <c r="M52" s="4">
        <v>0</v>
      </c>
      <c r="N52" s="4">
        <v>0</v>
      </c>
      <c r="O52" s="4">
        <v>0</v>
      </c>
      <c r="P52" s="4">
        <v>9609.6</v>
      </c>
      <c r="Q52" s="4">
        <v>0</v>
      </c>
      <c r="R52" s="4">
        <v>0</v>
      </c>
      <c r="S52" s="4">
        <v>30030.000000000004</v>
      </c>
      <c r="T52" s="4">
        <v>0</v>
      </c>
      <c r="U52" s="4">
        <v>0</v>
      </c>
      <c r="V52" s="4">
        <v>0</v>
      </c>
    </row>
    <row r="53" spans="1:22" ht="15" customHeight="1" x14ac:dyDescent="0.25">
      <c r="A53" s="30"/>
      <c r="B53" s="3" t="s">
        <v>75</v>
      </c>
      <c r="C53" s="4">
        <v>9293.9</v>
      </c>
      <c r="D53" s="4">
        <v>0</v>
      </c>
      <c r="E53" s="4">
        <v>45782.66</v>
      </c>
      <c r="F53" s="4">
        <v>-3763.7600000000007</v>
      </c>
      <c r="G53" s="4">
        <v>0</v>
      </c>
      <c r="H53" s="4">
        <v>0</v>
      </c>
      <c r="I53" s="4">
        <v>-8316</v>
      </c>
      <c r="J53" s="4">
        <v>0</v>
      </c>
      <c r="K53" s="4">
        <v>94783.149999999965</v>
      </c>
      <c r="L53" s="4">
        <v>5548.619999999999</v>
      </c>
      <c r="M53" s="4">
        <v>9212.2800000000007</v>
      </c>
      <c r="N53" s="4">
        <v>0</v>
      </c>
      <c r="O53" s="4">
        <v>69630.33</v>
      </c>
      <c r="P53" s="4">
        <v>14058.66</v>
      </c>
      <c r="Q53" s="4">
        <v>4668.5099999999993</v>
      </c>
      <c r="R53" s="4">
        <v>0</v>
      </c>
      <c r="S53" s="4">
        <v>8704.0799999999981</v>
      </c>
      <c r="T53" s="4">
        <v>47837.789999999972</v>
      </c>
      <c r="U53" s="4">
        <v>0</v>
      </c>
      <c r="V53" s="4">
        <v>51452.939999999995</v>
      </c>
    </row>
    <row r="54" spans="1:22" ht="15" customHeight="1" x14ac:dyDescent="0.25">
      <c r="A54" s="30"/>
      <c r="B54" s="3" t="s">
        <v>76</v>
      </c>
      <c r="C54" s="4">
        <v>-5077.38</v>
      </c>
      <c r="D54" s="4">
        <v>0</v>
      </c>
      <c r="E54" s="4">
        <v>-4700.8500000000004</v>
      </c>
      <c r="F54" s="4">
        <v>2143.6799999999998</v>
      </c>
      <c r="G54" s="4">
        <v>0</v>
      </c>
      <c r="H54" s="4">
        <v>0</v>
      </c>
      <c r="I54" s="4">
        <v>10136.280000000001</v>
      </c>
      <c r="J54" s="4">
        <v>0</v>
      </c>
      <c r="K54" s="4">
        <v>20599.039999999994</v>
      </c>
      <c r="L54" s="4">
        <v>3572.7999999999997</v>
      </c>
      <c r="M54" s="4">
        <v>11918.06</v>
      </c>
      <c r="N54" s="4">
        <v>0</v>
      </c>
      <c r="O54" s="4">
        <v>6785.239999999998</v>
      </c>
      <c r="P54" s="4">
        <v>4755.5199999999995</v>
      </c>
      <c r="Q54" s="4">
        <v>0</v>
      </c>
      <c r="R54" s="4">
        <v>0</v>
      </c>
      <c r="S54" s="4">
        <v>-97.790000000000077</v>
      </c>
      <c r="T54" s="4">
        <v>0</v>
      </c>
      <c r="U54" s="4">
        <v>0</v>
      </c>
      <c r="V54" s="4">
        <v>16077.6</v>
      </c>
    </row>
    <row r="55" spans="1:22" ht="15" customHeight="1" x14ac:dyDescent="0.25">
      <c r="A55" s="30"/>
      <c r="B55" s="3" t="s">
        <v>77</v>
      </c>
      <c r="C55" s="4">
        <v>124560.13000000008</v>
      </c>
      <c r="D55" s="4">
        <v>0</v>
      </c>
      <c r="E55" s="4">
        <v>76312.08</v>
      </c>
      <c r="F55" s="4">
        <v>354766.95999999979</v>
      </c>
      <c r="G55" s="4">
        <v>43056.86</v>
      </c>
      <c r="H55" s="4">
        <v>17740.8</v>
      </c>
      <c r="I55" s="4">
        <v>692946.2499999993</v>
      </c>
      <c r="J55" s="4">
        <v>0</v>
      </c>
      <c r="K55" s="4">
        <v>917255.0900000002</v>
      </c>
      <c r="L55" s="4">
        <v>60591.30000000001</v>
      </c>
      <c r="M55" s="4">
        <v>312513.12000000005</v>
      </c>
      <c r="N55" s="4">
        <v>0</v>
      </c>
      <c r="O55" s="4">
        <v>4787.09</v>
      </c>
      <c r="P55" s="4">
        <v>185546.46</v>
      </c>
      <c r="Q55" s="4">
        <v>70799.040000000008</v>
      </c>
      <c r="R55" s="4">
        <v>6652.7999999999993</v>
      </c>
      <c r="S55" s="4">
        <v>256714.15000000008</v>
      </c>
      <c r="T55" s="4">
        <v>232857.24000000028</v>
      </c>
      <c r="U55" s="4">
        <v>76388.619999999966</v>
      </c>
      <c r="V55" s="4">
        <v>534577.34</v>
      </c>
    </row>
    <row r="56" spans="1:22" ht="15" customHeight="1" x14ac:dyDescent="0.25">
      <c r="A56" s="30"/>
      <c r="B56" s="3" t="s">
        <v>78</v>
      </c>
      <c r="C56" s="4">
        <v>0</v>
      </c>
      <c r="D56" s="4">
        <v>0</v>
      </c>
      <c r="E56" s="4">
        <v>0</v>
      </c>
      <c r="F56" s="4">
        <v>14753.969999999998</v>
      </c>
      <c r="G56" s="4">
        <v>0</v>
      </c>
      <c r="H56" s="4">
        <v>0</v>
      </c>
      <c r="I56" s="4">
        <v>-3635.7099999999996</v>
      </c>
      <c r="J56" s="4">
        <v>0</v>
      </c>
      <c r="K56" s="4">
        <v>68950.600000000035</v>
      </c>
      <c r="L56" s="4">
        <v>1034.8799999999999</v>
      </c>
      <c r="M56" s="4">
        <v>0</v>
      </c>
      <c r="N56" s="4">
        <v>0</v>
      </c>
      <c r="O56" s="4">
        <v>6007.5400000000018</v>
      </c>
      <c r="P56" s="4">
        <v>7213.3599999999988</v>
      </c>
      <c r="Q56" s="4">
        <v>702.24</v>
      </c>
      <c r="R56" s="4">
        <v>0</v>
      </c>
      <c r="S56" s="4">
        <v>0</v>
      </c>
      <c r="T56" s="4">
        <v>702.24</v>
      </c>
      <c r="U56" s="4">
        <v>0</v>
      </c>
      <c r="V56" s="4">
        <v>0</v>
      </c>
    </row>
    <row r="57" spans="1:22" ht="15" customHeight="1" x14ac:dyDescent="0.25">
      <c r="A57" s="30"/>
      <c r="B57" s="3" t="s">
        <v>79</v>
      </c>
      <c r="C57" s="4">
        <v>0</v>
      </c>
      <c r="D57" s="4">
        <v>0</v>
      </c>
      <c r="E57" s="4">
        <v>0</v>
      </c>
      <c r="F57" s="4">
        <v>-1462.23</v>
      </c>
      <c r="G57" s="4">
        <v>0</v>
      </c>
      <c r="H57" s="4">
        <v>0</v>
      </c>
      <c r="I57" s="4">
        <v>-800.8</v>
      </c>
      <c r="J57" s="4">
        <v>0</v>
      </c>
      <c r="K57" s="4">
        <v>2499.42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</row>
    <row r="58" spans="1:22" ht="15" customHeight="1" x14ac:dyDescent="0.25">
      <c r="A58" s="30"/>
      <c r="B58" s="3" t="s">
        <v>80</v>
      </c>
      <c r="C58" s="4">
        <v>0</v>
      </c>
      <c r="D58" s="4">
        <v>0</v>
      </c>
      <c r="E58" s="4">
        <v>0</v>
      </c>
      <c r="F58" s="4">
        <v>681.45</v>
      </c>
      <c r="G58" s="4">
        <v>0</v>
      </c>
      <c r="H58" s="4">
        <v>0</v>
      </c>
      <c r="I58" s="4">
        <v>2094.3999999999996</v>
      </c>
      <c r="J58" s="4">
        <v>0</v>
      </c>
      <c r="K58" s="4">
        <v>9727.76</v>
      </c>
      <c r="L58" s="4">
        <v>0</v>
      </c>
      <c r="M58" s="4">
        <v>0</v>
      </c>
      <c r="N58" s="4">
        <v>0</v>
      </c>
      <c r="O58" s="4">
        <v>0</v>
      </c>
      <c r="P58" s="4">
        <v>5525.52</v>
      </c>
      <c r="Q58" s="4">
        <v>0</v>
      </c>
      <c r="R58" s="4">
        <v>0</v>
      </c>
      <c r="S58" s="4">
        <v>970.2</v>
      </c>
      <c r="T58" s="4">
        <v>17661</v>
      </c>
      <c r="U58" s="4">
        <v>0</v>
      </c>
      <c r="V58" s="4">
        <v>831.6</v>
      </c>
    </row>
    <row r="59" spans="1:22" ht="15" customHeight="1" x14ac:dyDescent="0.25">
      <c r="A59" s="30"/>
      <c r="B59" s="3" t="s">
        <v>81</v>
      </c>
      <c r="C59" s="4">
        <v>0</v>
      </c>
      <c r="D59" s="4">
        <v>0</v>
      </c>
      <c r="E59" s="4">
        <v>9609.6</v>
      </c>
      <c r="F59" s="4">
        <v>0</v>
      </c>
      <c r="G59" s="4">
        <v>0</v>
      </c>
      <c r="H59" s="4">
        <v>0</v>
      </c>
      <c r="I59" s="4">
        <v>65234.400000000009</v>
      </c>
      <c r="J59" s="4">
        <v>0</v>
      </c>
      <c r="K59" s="4">
        <v>67854.009999999995</v>
      </c>
      <c r="L59" s="4">
        <v>0</v>
      </c>
      <c r="M59" s="4">
        <v>0</v>
      </c>
      <c r="N59" s="4">
        <v>0</v>
      </c>
      <c r="O59" s="4">
        <v>0</v>
      </c>
      <c r="P59" s="4">
        <v>6689.76</v>
      </c>
      <c r="Q59" s="4">
        <v>0</v>
      </c>
      <c r="R59" s="4">
        <v>1344</v>
      </c>
      <c r="S59" s="4">
        <v>9609.6</v>
      </c>
      <c r="T59" s="4">
        <v>253490.16000000003</v>
      </c>
      <c r="U59" s="4">
        <v>0</v>
      </c>
      <c r="V59" s="4">
        <v>0</v>
      </c>
    </row>
    <row r="60" spans="1:22" ht="15" customHeight="1" x14ac:dyDescent="0.25">
      <c r="A60" s="30"/>
      <c r="B60" s="3" t="s">
        <v>82</v>
      </c>
      <c r="C60" s="4">
        <v>-105.64</v>
      </c>
      <c r="D60" s="4">
        <v>0</v>
      </c>
      <c r="E60" s="4">
        <v>1067.22</v>
      </c>
      <c r="F60" s="4">
        <v>3497.34</v>
      </c>
      <c r="G60" s="4">
        <v>0</v>
      </c>
      <c r="H60" s="4">
        <v>0</v>
      </c>
      <c r="I60" s="4">
        <v>14867.93</v>
      </c>
      <c r="J60" s="4">
        <v>0</v>
      </c>
      <c r="K60" s="4">
        <v>56769.790000000023</v>
      </c>
      <c r="L60" s="4">
        <v>3049.2000000000003</v>
      </c>
      <c r="M60" s="4">
        <v>3766.0699999999993</v>
      </c>
      <c r="N60" s="4">
        <v>0</v>
      </c>
      <c r="O60" s="4">
        <v>2162.16</v>
      </c>
      <c r="P60" s="4">
        <v>-60.06</v>
      </c>
      <c r="Q60" s="4">
        <v>-50.82</v>
      </c>
      <c r="R60" s="4">
        <v>0</v>
      </c>
      <c r="S60" s="4">
        <v>1399.8600000000001</v>
      </c>
      <c r="T60" s="4">
        <v>0</v>
      </c>
      <c r="U60" s="4">
        <v>0</v>
      </c>
      <c r="V60" s="4">
        <v>43099.979999999996</v>
      </c>
    </row>
    <row r="61" spans="1:22" ht="15" customHeight="1" x14ac:dyDescent="0.25">
      <c r="A61" s="30"/>
      <c r="B61" s="3" t="s">
        <v>83</v>
      </c>
      <c r="C61" s="4">
        <v>10232.68</v>
      </c>
      <c r="D61" s="4">
        <v>0</v>
      </c>
      <c r="E61" s="4">
        <v>12608.29</v>
      </c>
      <c r="F61" s="4">
        <v>15708</v>
      </c>
      <c r="G61" s="4">
        <v>-4268.88</v>
      </c>
      <c r="H61" s="4">
        <v>0</v>
      </c>
      <c r="I61" s="4">
        <v>5058.28</v>
      </c>
      <c r="J61" s="4">
        <v>0</v>
      </c>
      <c r="K61" s="4">
        <v>75583.19</v>
      </c>
      <c r="L61" s="4">
        <v>10455.059999999998</v>
      </c>
      <c r="M61" s="4">
        <v>7088</v>
      </c>
      <c r="N61" s="4">
        <v>0</v>
      </c>
      <c r="O61" s="4">
        <v>5202.12</v>
      </c>
      <c r="P61" s="4">
        <v>15044.26</v>
      </c>
      <c r="Q61" s="4">
        <v>1177.48</v>
      </c>
      <c r="R61" s="4">
        <v>0</v>
      </c>
      <c r="S61" s="4">
        <v>6541.92</v>
      </c>
      <c r="T61" s="4">
        <v>0</v>
      </c>
      <c r="U61" s="4">
        <v>1651.8</v>
      </c>
      <c r="V61" s="4">
        <v>52493.209999999992</v>
      </c>
    </row>
    <row r="62" spans="1:22" ht="15" customHeight="1" x14ac:dyDescent="0.25">
      <c r="A62" s="30"/>
      <c r="B62" s="3" t="s">
        <v>84</v>
      </c>
      <c r="C62" s="4">
        <v>10453.91</v>
      </c>
      <c r="D62" s="4">
        <v>0</v>
      </c>
      <c r="E62" s="4">
        <v>8222.4500000000007</v>
      </c>
      <c r="F62" s="4">
        <v>0</v>
      </c>
      <c r="G62" s="4">
        <v>0</v>
      </c>
      <c r="H62" s="4">
        <v>0</v>
      </c>
      <c r="I62" s="4">
        <v>4543.7700000000004</v>
      </c>
      <c r="J62" s="4">
        <v>0</v>
      </c>
      <c r="K62" s="4">
        <v>42726.650000000009</v>
      </c>
      <c r="L62" s="4">
        <v>14844.060000000001</v>
      </c>
      <c r="M62" s="4">
        <v>4082.1200000000008</v>
      </c>
      <c r="N62" s="4">
        <v>0</v>
      </c>
      <c r="O62" s="4">
        <v>2474.0099999999998</v>
      </c>
      <c r="P62" s="4">
        <v>7422.0300000000007</v>
      </c>
      <c r="Q62" s="4">
        <v>0</v>
      </c>
      <c r="R62" s="4">
        <v>0</v>
      </c>
      <c r="S62" s="4">
        <v>14844.060000000001</v>
      </c>
      <c r="T62" s="4">
        <v>5772.69</v>
      </c>
      <c r="U62" s="4">
        <v>0</v>
      </c>
      <c r="V62" s="4">
        <v>9071.3699999999899</v>
      </c>
    </row>
    <row r="63" spans="1:22" ht="15" customHeight="1" x14ac:dyDescent="0.25">
      <c r="A63" s="30"/>
      <c r="B63" s="3" t="s">
        <v>85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4656.96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</row>
    <row r="64" spans="1:22" ht="15" customHeight="1" x14ac:dyDescent="0.25">
      <c r="A64" s="30"/>
      <c r="B64" s="3" t="s">
        <v>86</v>
      </c>
      <c r="C64" s="4">
        <v>0</v>
      </c>
      <c r="D64" s="4">
        <v>0</v>
      </c>
      <c r="E64" s="4">
        <v>0</v>
      </c>
      <c r="F64" s="4">
        <v>4527.6000000000004</v>
      </c>
      <c r="G64" s="4">
        <v>0</v>
      </c>
      <c r="H64" s="4">
        <v>0</v>
      </c>
      <c r="I64" s="4">
        <v>0</v>
      </c>
      <c r="J64" s="4">
        <v>0</v>
      </c>
      <c r="K64" s="4">
        <v>2263.8000000000002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  <row r="65" spans="1:22" ht="15" customHeight="1" x14ac:dyDescent="0.25">
      <c r="A65" s="30"/>
      <c r="B65" s="3" t="s">
        <v>87</v>
      </c>
      <c r="C65" s="4">
        <v>8059.9000000000005</v>
      </c>
      <c r="D65" s="4">
        <v>0</v>
      </c>
      <c r="E65" s="4">
        <v>0</v>
      </c>
      <c r="F65" s="4">
        <v>14808.26</v>
      </c>
      <c r="G65" s="4">
        <v>0</v>
      </c>
      <c r="H65" s="4">
        <v>0</v>
      </c>
      <c r="I65" s="4">
        <v>3319.46</v>
      </c>
      <c r="J65" s="4">
        <v>0</v>
      </c>
      <c r="K65" s="4">
        <v>2016.0099999999998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7937.16</v>
      </c>
      <c r="R65" s="4">
        <v>0</v>
      </c>
      <c r="S65" s="4">
        <v>0</v>
      </c>
      <c r="T65" s="4">
        <v>828.21</v>
      </c>
      <c r="U65" s="4">
        <v>0</v>
      </c>
      <c r="V65" s="4">
        <v>-227.92</v>
      </c>
    </row>
    <row r="66" spans="1:22" ht="15" customHeight="1" x14ac:dyDescent="0.25">
      <c r="A66" s="30"/>
      <c r="B66" s="3" t="s">
        <v>88</v>
      </c>
      <c r="C66" s="4">
        <v>79345.420000000027</v>
      </c>
      <c r="D66" s="4">
        <v>0</v>
      </c>
      <c r="E66" s="4">
        <v>61553.029999999992</v>
      </c>
      <c r="F66" s="4">
        <v>229712.56000000038</v>
      </c>
      <c r="G66" s="4">
        <v>0</v>
      </c>
      <c r="H66" s="4">
        <v>0</v>
      </c>
      <c r="I66" s="4">
        <v>199461.96000000046</v>
      </c>
      <c r="J66" s="4">
        <v>16067.979999999998</v>
      </c>
      <c r="K66" s="4">
        <v>470306.99000000011</v>
      </c>
      <c r="L66" s="4">
        <v>5390</v>
      </c>
      <c r="M66" s="4">
        <v>58124.990000000013</v>
      </c>
      <c r="N66" s="4">
        <v>0</v>
      </c>
      <c r="O66" s="4">
        <v>17798.550000000003</v>
      </c>
      <c r="P66" s="4">
        <v>97679.890000000043</v>
      </c>
      <c r="Q66" s="4">
        <v>76301.61</v>
      </c>
      <c r="R66" s="4">
        <v>16202.339999999998</v>
      </c>
      <c r="S66" s="4">
        <v>70317.170000000056</v>
      </c>
      <c r="T66" s="4">
        <v>319218.90000000002</v>
      </c>
      <c r="U66" s="4">
        <v>40388.040000000015</v>
      </c>
      <c r="V66" s="4">
        <v>49345.450000000048</v>
      </c>
    </row>
    <row r="67" spans="1:22" ht="15" customHeight="1" x14ac:dyDescent="0.25">
      <c r="A67" s="30"/>
      <c r="B67" s="3" t="s">
        <v>89</v>
      </c>
      <c r="C67" s="4">
        <v>0</v>
      </c>
      <c r="D67" s="4">
        <v>0</v>
      </c>
      <c r="E67" s="4">
        <v>-1199.6599999999999</v>
      </c>
      <c r="F67" s="4">
        <v>0</v>
      </c>
      <c r="G67" s="4">
        <v>0</v>
      </c>
      <c r="H67" s="4">
        <v>0</v>
      </c>
      <c r="I67" s="4">
        <v>631.4</v>
      </c>
      <c r="J67" s="4">
        <v>0</v>
      </c>
      <c r="K67" s="4">
        <v>2193.73</v>
      </c>
      <c r="L67" s="4">
        <v>0</v>
      </c>
      <c r="M67" s="4">
        <v>0</v>
      </c>
      <c r="N67" s="4">
        <v>0</v>
      </c>
      <c r="O67" s="4">
        <v>0</v>
      </c>
      <c r="P67" s="4">
        <v>2020.48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</row>
    <row r="68" spans="1:22" ht="15" customHeight="1" x14ac:dyDescent="0.25">
      <c r="A68" s="30"/>
      <c r="B68" s="3" t="s">
        <v>90</v>
      </c>
      <c r="C68" s="4">
        <v>0</v>
      </c>
      <c r="D68" s="4">
        <v>0</v>
      </c>
      <c r="E68" s="4">
        <v>6375.6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830.06000000000006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477.4</v>
      </c>
      <c r="T68" s="4">
        <v>0</v>
      </c>
      <c r="U68" s="4">
        <v>0</v>
      </c>
      <c r="V68" s="4">
        <v>4620</v>
      </c>
    </row>
    <row r="69" spans="1:22" ht="15" customHeight="1" x14ac:dyDescent="0.25">
      <c r="A69" s="30"/>
      <c r="B69" s="3" t="s">
        <v>91</v>
      </c>
      <c r="C69" s="4">
        <v>5875.0999999999995</v>
      </c>
      <c r="D69" s="4">
        <v>0</v>
      </c>
      <c r="E69" s="4">
        <v>1791.0200000000004</v>
      </c>
      <c r="F69" s="4">
        <v>4390.4600000000009</v>
      </c>
      <c r="G69" s="4">
        <v>0</v>
      </c>
      <c r="H69" s="4">
        <v>10912.44</v>
      </c>
      <c r="I69" s="4">
        <v>214151.02</v>
      </c>
      <c r="J69" s="4">
        <v>0</v>
      </c>
      <c r="K69" s="4">
        <v>42014.36</v>
      </c>
      <c r="L69" s="4">
        <v>8657.880000000001</v>
      </c>
      <c r="M69" s="4">
        <v>21437.800000000003</v>
      </c>
      <c r="N69" s="4">
        <v>0</v>
      </c>
      <c r="O69" s="4">
        <v>0</v>
      </c>
      <c r="P69" s="4">
        <v>7003.1500000000005</v>
      </c>
      <c r="Q69" s="4">
        <v>5004.6900000000005</v>
      </c>
      <c r="R69" s="4">
        <v>0</v>
      </c>
      <c r="S69" s="4">
        <v>7538.300000000002</v>
      </c>
      <c r="T69" s="4">
        <v>4626.16</v>
      </c>
      <c r="U69" s="4">
        <v>-6497.26</v>
      </c>
      <c r="V69" s="4">
        <v>37023.140000000007</v>
      </c>
    </row>
    <row r="70" spans="1:22" ht="15" customHeight="1" x14ac:dyDescent="0.25">
      <c r="A70" s="30"/>
      <c r="B70" s="3" t="s">
        <v>92</v>
      </c>
      <c r="C70" s="4">
        <v>7792.4</v>
      </c>
      <c r="D70" s="4">
        <v>0</v>
      </c>
      <c r="E70" s="4">
        <v>56582.680000000008</v>
      </c>
      <c r="F70" s="4">
        <v>63846.179999999993</v>
      </c>
      <c r="G70" s="4">
        <v>0</v>
      </c>
      <c r="H70" s="4">
        <v>0</v>
      </c>
      <c r="I70" s="4">
        <v>83260.329999999987</v>
      </c>
      <c r="J70" s="4">
        <v>569.79999999999995</v>
      </c>
      <c r="K70" s="4">
        <v>84815.87999999999</v>
      </c>
      <c r="L70" s="4">
        <v>-1.8500000000000227</v>
      </c>
      <c r="M70" s="4">
        <v>13584.96</v>
      </c>
      <c r="N70" s="4">
        <v>0</v>
      </c>
      <c r="O70" s="4">
        <v>2279.1999999999998</v>
      </c>
      <c r="P70" s="4">
        <v>21519.81</v>
      </c>
      <c r="Q70" s="4">
        <v>8121.96</v>
      </c>
      <c r="R70" s="4">
        <v>0</v>
      </c>
      <c r="S70" s="4">
        <v>22240.139999999996</v>
      </c>
      <c r="T70" s="4">
        <v>24405.069999999992</v>
      </c>
      <c r="U70" s="4">
        <v>284.89999999999998</v>
      </c>
      <c r="V70" s="4">
        <v>56976.149999999994</v>
      </c>
    </row>
    <row r="71" spans="1:22" ht="15" customHeight="1" x14ac:dyDescent="0.25">
      <c r="A71" s="30"/>
      <c r="B71" s="3" t="s">
        <v>93</v>
      </c>
      <c r="C71" s="4">
        <v>83042.189999999988</v>
      </c>
      <c r="D71" s="4">
        <v>0</v>
      </c>
      <c r="E71" s="4">
        <v>27130.179999999997</v>
      </c>
      <c r="F71" s="4">
        <v>94181.779999999984</v>
      </c>
      <c r="G71" s="4">
        <v>0</v>
      </c>
      <c r="H71" s="4">
        <v>0</v>
      </c>
      <c r="I71" s="4">
        <v>366912.85000000003</v>
      </c>
      <c r="J71" s="4">
        <v>0</v>
      </c>
      <c r="K71" s="4">
        <v>399767.21000000008</v>
      </c>
      <c r="L71" s="4">
        <v>29212.26</v>
      </c>
      <c r="M71" s="4">
        <v>1730.1900000000005</v>
      </c>
      <c r="N71" s="4">
        <v>0</v>
      </c>
      <c r="O71" s="4">
        <v>1747.8999999999994</v>
      </c>
      <c r="P71" s="4">
        <v>108545.97999999998</v>
      </c>
      <c r="Q71" s="4">
        <v>6633.5500000000011</v>
      </c>
      <c r="R71" s="4">
        <v>0</v>
      </c>
      <c r="S71" s="4">
        <v>36891.47</v>
      </c>
      <c r="T71" s="4">
        <v>21920.360000000004</v>
      </c>
      <c r="U71" s="4">
        <v>5576.34</v>
      </c>
      <c r="V71" s="4">
        <v>144276.43999999997</v>
      </c>
    </row>
    <row r="72" spans="1:22" ht="15" customHeight="1" x14ac:dyDescent="0.25">
      <c r="A72" s="30"/>
      <c r="B72" s="3" t="s">
        <v>94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61764.780000000013</v>
      </c>
      <c r="J72" s="4">
        <v>0</v>
      </c>
      <c r="K72" s="4">
        <v>11586.960000000001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14968.800000000001</v>
      </c>
      <c r="U72" s="4">
        <v>0</v>
      </c>
      <c r="V72" s="4">
        <v>0</v>
      </c>
    </row>
    <row r="73" spans="1:22" ht="15" customHeight="1" x14ac:dyDescent="0.25">
      <c r="A73" s="30"/>
      <c r="B73" s="3" t="s">
        <v>95</v>
      </c>
      <c r="C73" s="4">
        <v>0</v>
      </c>
      <c r="D73" s="4">
        <v>0</v>
      </c>
      <c r="E73" s="4">
        <v>-14382.83</v>
      </c>
      <c r="F73" s="4">
        <v>-1034.8800000000001</v>
      </c>
      <c r="G73" s="4">
        <v>0</v>
      </c>
      <c r="H73" s="4">
        <v>0</v>
      </c>
      <c r="I73" s="4">
        <v>-9715.8599999999988</v>
      </c>
      <c r="J73" s="4">
        <v>0</v>
      </c>
      <c r="K73" s="4">
        <v>-31488.379999999997</v>
      </c>
      <c r="L73" s="4">
        <v>0</v>
      </c>
      <c r="M73" s="4">
        <v>-1563.1000000000001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</row>
    <row r="74" spans="1:22" ht="15" customHeight="1" x14ac:dyDescent="0.25">
      <c r="A74" s="30"/>
      <c r="B74" s="3" t="s">
        <v>96</v>
      </c>
      <c r="C74" s="4">
        <v>0</v>
      </c>
      <c r="D74" s="4">
        <v>0</v>
      </c>
      <c r="E74" s="4">
        <v>0</v>
      </c>
      <c r="F74" s="4">
        <v>-1399.86</v>
      </c>
      <c r="G74" s="4">
        <v>0</v>
      </c>
      <c r="H74" s="4">
        <v>0</v>
      </c>
      <c r="I74" s="4">
        <v>-9363.2000000000007</v>
      </c>
      <c r="J74" s="4">
        <v>0</v>
      </c>
      <c r="K74" s="4">
        <v>5313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</row>
    <row r="75" spans="1:22" ht="15" customHeight="1" x14ac:dyDescent="0.25">
      <c r="A75" s="30"/>
      <c r="B75" s="3" t="s">
        <v>97</v>
      </c>
      <c r="C75" s="4">
        <v>519.75</v>
      </c>
      <c r="D75" s="4">
        <v>0</v>
      </c>
      <c r="E75" s="4">
        <v>72617.16</v>
      </c>
      <c r="F75" s="4">
        <v>49067.48</v>
      </c>
      <c r="G75" s="4">
        <v>0</v>
      </c>
      <c r="H75" s="4">
        <v>0</v>
      </c>
      <c r="I75" s="4">
        <v>106572.73000000003</v>
      </c>
      <c r="J75" s="4">
        <v>0</v>
      </c>
      <c r="K75" s="4">
        <v>18249.77</v>
      </c>
      <c r="L75" s="4">
        <v>0</v>
      </c>
      <c r="M75" s="4">
        <v>-13081.34</v>
      </c>
      <c r="N75" s="4">
        <v>0</v>
      </c>
      <c r="O75" s="4">
        <v>3817.6599999999994</v>
      </c>
      <c r="P75" s="4">
        <v>23292.499999999996</v>
      </c>
      <c r="Q75" s="4">
        <v>-164.78</v>
      </c>
      <c r="R75" s="4">
        <v>0</v>
      </c>
      <c r="S75" s="4">
        <v>6672.82</v>
      </c>
      <c r="T75" s="4">
        <v>0</v>
      </c>
      <c r="U75" s="4">
        <v>0</v>
      </c>
      <c r="V75" s="4">
        <v>43997.030000000013</v>
      </c>
    </row>
    <row r="76" spans="1:22" ht="15" customHeight="1" x14ac:dyDescent="0.25">
      <c r="A76" s="30"/>
      <c r="B76" s="3" t="s">
        <v>98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42291.479999999989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1838.76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</row>
    <row r="77" spans="1:22" ht="15" customHeight="1" x14ac:dyDescent="0.25">
      <c r="A77" s="30"/>
      <c r="B77" s="3" t="s">
        <v>99</v>
      </c>
      <c r="C77" s="4">
        <v>0</v>
      </c>
      <c r="D77" s="4">
        <v>0</v>
      </c>
      <c r="E77" s="4">
        <v>-145.53</v>
      </c>
      <c r="F77" s="4">
        <v>5384.6100000000006</v>
      </c>
      <c r="G77" s="4">
        <v>0</v>
      </c>
      <c r="H77" s="4">
        <v>0</v>
      </c>
      <c r="I77" s="4">
        <v>-16716.849999999999</v>
      </c>
      <c r="J77" s="4">
        <v>0</v>
      </c>
      <c r="K77" s="4">
        <v>12881.490000000003</v>
      </c>
      <c r="L77" s="4">
        <v>0</v>
      </c>
      <c r="M77" s="4">
        <v>0</v>
      </c>
      <c r="N77" s="4">
        <v>0</v>
      </c>
      <c r="O77" s="4">
        <v>2860.55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</row>
    <row r="78" spans="1:22" ht="15" customHeight="1" x14ac:dyDescent="0.25">
      <c r="A78" s="30"/>
      <c r="B78" s="3" t="s">
        <v>100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2225.3000000000002</v>
      </c>
    </row>
    <row r="79" spans="1:22" ht="15" customHeight="1" x14ac:dyDescent="0.25">
      <c r="A79" s="30"/>
      <c r="B79" s="3" t="s">
        <v>101</v>
      </c>
      <c r="C79" s="4">
        <v>151612.23000000001</v>
      </c>
      <c r="D79" s="4">
        <v>44924.110000000008</v>
      </c>
      <c r="E79" s="4">
        <v>236096.62999999992</v>
      </c>
      <c r="F79" s="4">
        <v>348983.65</v>
      </c>
      <c r="G79" s="4">
        <v>0</v>
      </c>
      <c r="H79" s="4">
        <v>0</v>
      </c>
      <c r="I79" s="4">
        <v>659329.44000000006</v>
      </c>
      <c r="J79" s="4">
        <v>0</v>
      </c>
      <c r="K79" s="4">
        <v>611395.16999999993</v>
      </c>
      <c r="L79" s="4">
        <v>180139.19000000006</v>
      </c>
      <c r="M79" s="4">
        <v>70746.059999999983</v>
      </c>
      <c r="N79" s="4">
        <v>0</v>
      </c>
      <c r="O79" s="4">
        <v>43857.660000000047</v>
      </c>
      <c r="P79" s="4">
        <v>263922.89</v>
      </c>
      <c r="Q79" s="4">
        <v>79599.290000000008</v>
      </c>
      <c r="R79" s="4">
        <v>31500.699999999986</v>
      </c>
      <c r="S79" s="4">
        <v>248308.44999999987</v>
      </c>
      <c r="T79" s="4">
        <v>337895.64000000013</v>
      </c>
      <c r="U79" s="4">
        <v>55142.779999999992</v>
      </c>
      <c r="V79" s="4">
        <v>244867.69999999992</v>
      </c>
    </row>
    <row r="80" spans="1:22" ht="15" customHeight="1" x14ac:dyDescent="0.25">
      <c r="A80" s="30"/>
      <c r="B80" s="3" t="s">
        <v>102</v>
      </c>
      <c r="C80" s="4">
        <v>0</v>
      </c>
      <c r="D80" s="4">
        <v>0</v>
      </c>
      <c r="E80" s="4">
        <v>0</v>
      </c>
      <c r="F80" s="4">
        <v>0</v>
      </c>
      <c r="G80" s="4">
        <v>82674.899999999994</v>
      </c>
      <c r="H80" s="4">
        <v>0</v>
      </c>
      <c r="I80" s="4">
        <v>214527.39000000007</v>
      </c>
      <c r="J80" s="4">
        <v>0</v>
      </c>
      <c r="K80" s="4">
        <v>40752.25</v>
      </c>
      <c r="L80" s="4">
        <v>40794.6</v>
      </c>
      <c r="M80" s="4">
        <v>0</v>
      </c>
      <c r="N80" s="4">
        <v>0</v>
      </c>
      <c r="O80" s="4">
        <v>4102.5600000000004</v>
      </c>
      <c r="P80" s="4">
        <v>27456.660000000003</v>
      </c>
      <c r="Q80" s="4">
        <v>0</v>
      </c>
      <c r="R80" s="4">
        <v>0</v>
      </c>
      <c r="S80" s="4">
        <v>40036.920000000006</v>
      </c>
      <c r="T80" s="4">
        <v>0</v>
      </c>
      <c r="U80" s="4">
        <v>0</v>
      </c>
      <c r="V80" s="4">
        <v>0</v>
      </c>
    </row>
    <row r="81" spans="1:22" ht="15" customHeight="1" x14ac:dyDescent="0.25">
      <c r="A81" s="30"/>
      <c r="B81" s="3" t="s">
        <v>103</v>
      </c>
      <c r="C81" s="4">
        <v>61595.380000000005</v>
      </c>
      <c r="D81" s="4">
        <v>0</v>
      </c>
      <c r="E81" s="4">
        <v>41473.740000000005</v>
      </c>
      <c r="F81" s="4">
        <v>118124.16000000002</v>
      </c>
      <c r="G81" s="4">
        <v>3474.24</v>
      </c>
      <c r="H81" s="4">
        <v>10422.719999999998</v>
      </c>
      <c r="I81" s="4">
        <v>353865.82</v>
      </c>
      <c r="J81" s="4">
        <v>0</v>
      </c>
      <c r="K81" s="4">
        <v>407644.15999999992</v>
      </c>
      <c r="L81" s="4">
        <v>46902.239999999998</v>
      </c>
      <c r="M81" s="4">
        <v>112768.03999999998</v>
      </c>
      <c r="N81" s="4">
        <v>0</v>
      </c>
      <c r="O81" s="4">
        <v>0</v>
      </c>
      <c r="P81" s="4">
        <v>95252.080000000016</v>
      </c>
      <c r="Q81" s="4">
        <v>15279.880000000001</v>
      </c>
      <c r="R81" s="4">
        <v>0</v>
      </c>
      <c r="S81" s="4">
        <v>128040.21999999999</v>
      </c>
      <c r="T81" s="4">
        <v>197525.01999999996</v>
      </c>
      <c r="U81" s="4">
        <v>10422.719999999999</v>
      </c>
      <c r="V81" s="4">
        <v>131586.84</v>
      </c>
    </row>
    <row r="82" spans="1:22" ht="15" customHeight="1" x14ac:dyDescent="0.25">
      <c r="A82" s="30"/>
      <c r="B82" s="3" t="s">
        <v>104</v>
      </c>
      <c r="C82" s="4">
        <v>0</v>
      </c>
      <c r="D82" s="4">
        <v>0</v>
      </c>
      <c r="E82" s="4">
        <v>0</v>
      </c>
      <c r="F82" s="4">
        <v>278.74</v>
      </c>
      <c r="G82" s="4">
        <v>0</v>
      </c>
      <c r="H82" s="4">
        <v>0</v>
      </c>
      <c r="I82" s="4">
        <v>64823.219999999994</v>
      </c>
      <c r="J82" s="4">
        <v>0</v>
      </c>
      <c r="K82" s="4">
        <v>-559.0200000000001</v>
      </c>
      <c r="L82" s="4">
        <v>0</v>
      </c>
      <c r="M82" s="4">
        <v>2362.3599999999997</v>
      </c>
      <c r="N82" s="4">
        <v>0</v>
      </c>
      <c r="O82" s="4">
        <v>0</v>
      </c>
      <c r="P82" s="4">
        <v>6974.6600000000008</v>
      </c>
      <c r="Q82" s="4">
        <v>368.06</v>
      </c>
      <c r="R82" s="4">
        <v>0</v>
      </c>
      <c r="S82" s="4">
        <v>0</v>
      </c>
      <c r="T82" s="4">
        <v>0</v>
      </c>
      <c r="U82" s="4">
        <v>0</v>
      </c>
      <c r="V82" s="4">
        <v>2462.46</v>
      </c>
    </row>
    <row r="83" spans="1:22" ht="15" customHeight="1" x14ac:dyDescent="0.25">
      <c r="A83" s="30"/>
      <c r="B83" s="3" t="s">
        <v>105</v>
      </c>
      <c r="C83" s="4">
        <v>5468.5399999999991</v>
      </c>
      <c r="D83" s="4">
        <v>0</v>
      </c>
      <c r="E83" s="4">
        <v>13693.68</v>
      </c>
      <c r="F83" s="4">
        <v>20240.219999999998</v>
      </c>
      <c r="G83" s="4">
        <v>0</v>
      </c>
      <c r="H83" s="4">
        <v>1640.1</v>
      </c>
      <c r="I83" s="4">
        <v>95647.86</v>
      </c>
      <c r="J83" s="4">
        <v>0</v>
      </c>
      <c r="K83" s="4">
        <v>54127.92</v>
      </c>
      <c r="L83" s="4">
        <v>5460.84</v>
      </c>
      <c r="M83" s="4">
        <v>45202.079999999994</v>
      </c>
      <c r="N83" s="4">
        <v>0</v>
      </c>
      <c r="O83" s="4">
        <v>796.95</v>
      </c>
      <c r="P83" s="4">
        <v>9168.39</v>
      </c>
      <c r="Q83" s="4">
        <v>9554.16</v>
      </c>
      <c r="R83" s="4">
        <v>0</v>
      </c>
      <c r="S83" s="4">
        <v>2978.3599999999997</v>
      </c>
      <c r="T83" s="4">
        <v>4675.4399999999996</v>
      </c>
      <c r="U83" s="4">
        <v>5051.97</v>
      </c>
      <c r="V83" s="4">
        <v>43294.020000000004</v>
      </c>
    </row>
    <row r="84" spans="1:22" ht="15" customHeight="1" x14ac:dyDescent="0.25">
      <c r="A84" s="30"/>
      <c r="B84" s="3" t="s">
        <v>106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1986.6</v>
      </c>
      <c r="J84" s="4">
        <v>0</v>
      </c>
      <c r="K84" s="4">
        <v>2979.8999999999996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</row>
    <row r="85" spans="1:22" ht="15" customHeight="1" x14ac:dyDescent="0.25">
      <c r="A85" s="30"/>
      <c r="B85" s="3" t="s">
        <v>107</v>
      </c>
      <c r="C85" s="4">
        <v>105993.83999999997</v>
      </c>
      <c r="D85" s="4">
        <v>0</v>
      </c>
      <c r="E85" s="4">
        <v>71366.999999999985</v>
      </c>
      <c r="F85" s="4">
        <v>135945.51999999999</v>
      </c>
      <c r="G85" s="4">
        <v>0</v>
      </c>
      <c r="H85" s="4">
        <v>0</v>
      </c>
      <c r="I85" s="4">
        <v>452897.38999999984</v>
      </c>
      <c r="J85" s="4">
        <v>0</v>
      </c>
      <c r="K85" s="4">
        <v>377258.44999999966</v>
      </c>
      <c r="L85" s="4">
        <v>62349.829999999965</v>
      </c>
      <c r="M85" s="4">
        <v>48149.479999999996</v>
      </c>
      <c r="N85" s="4">
        <v>0</v>
      </c>
      <c r="O85" s="4">
        <v>34377.030000000021</v>
      </c>
      <c r="P85" s="4">
        <v>153997.00999999995</v>
      </c>
      <c r="Q85" s="4">
        <v>39357.090000000011</v>
      </c>
      <c r="R85" s="4">
        <v>5704.16</v>
      </c>
      <c r="S85" s="4">
        <v>117679.03999999999</v>
      </c>
      <c r="T85" s="4">
        <v>176011.82999999993</v>
      </c>
      <c r="U85" s="4">
        <v>9206.16</v>
      </c>
      <c r="V85" s="4">
        <v>84904.470000000016</v>
      </c>
    </row>
    <row r="86" spans="1:22" ht="15" customHeight="1" x14ac:dyDescent="0.25">
      <c r="A86" s="30"/>
      <c r="B86" s="3" t="s">
        <v>108</v>
      </c>
      <c r="C86" s="4">
        <v>501.27</v>
      </c>
      <c r="D86" s="4">
        <v>0</v>
      </c>
      <c r="E86" s="4">
        <v>0</v>
      </c>
      <c r="F86" s="4">
        <v>55199.759999999995</v>
      </c>
      <c r="G86" s="4">
        <v>0</v>
      </c>
      <c r="H86" s="4">
        <v>0</v>
      </c>
      <c r="I86" s="4">
        <v>76477.940000000031</v>
      </c>
      <c r="J86" s="4">
        <v>0</v>
      </c>
      <c r="K86" s="4">
        <v>102321.45000000003</v>
      </c>
      <c r="L86" s="4">
        <v>1538.46</v>
      </c>
      <c r="M86" s="4">
        <v>10256.4</v>
      </c>
      <c r="N86" s="4">
        <v>0</v>
      </c>
      <c r="O86" s="4">
        <v>0</v>
      </c>
      <c r="P86" s="4">
        <v>15689.519999999991</v>
      </c>
      <c r="Q86" s="4">
        <v>28080.36</v>
      </c>
      <c r="R86" s="4">
        <v>0</v>
      </c>
      <c r="S86" s="4">
        <v>13739.879999999997</v>
      </c>
      <c r="T86" s="4">
        <v>37107.839999999982</v>
      </c>
      <c r="U86" s="4">
        <v>0</v>
      </c>
      <c r="V86" s="4">
        <v>32386.2</v>
      </c>
    </row>
    <row r="87" spans="1:22" ht="15" customHeight="1" x14ac:dyDescent="0.25">
      <c r="A87" s="30"/>
      <c r="B87" s="3" t="s">
        <v>109</v>
      </c>
      <c r="C87" s="4">
        <v>146359.91</v>
      </c>
      <c r="D87" s="4">
        <v>0</v>
      </c>
      <c r="E87" s="4">
        <v>99946.769999999975</v>
      </c>
      <c r="F87" s="4">
        <v>258972.53000000009</v>
      </c>
      <c r="G87" s="4">
        <v>114116.31</v>
      </c>
      <c r="H87" s="4">
        <v>0</v>
      </c>
      <c r="I87" s="4">
        <v>285544.88999999984</v>
      </c>
      <c r="J87" s="4">
        <v>52366.5</v>
      </c>
      <c r="K87" s="4">
        <v>733528.35999999905</v>
      </c>
      <c r="L87" s="4">
        <v>148178.58000000005</v>
      </c>
      <c r="M87" s="4">
        <v>-27218.400000000005</v>
      </c>
      <c r="N87" s="4">
        <v>0</v>
      </c>
      <c r="O87" s="4">
        <v>5667.12</v>
      </c>
      <c r="P87" s="4">
        <v>399736.25999999995</v>
      </c>
      <c r="Q87" s="4">
        <v>6084.54</v>
      </c>
      <c r="R87" s="4">
        <v>36722.07</v>
      </c>
      <c r="S87" s="4">
        <v>886995.87999999977</v>
      </c>
      <c r="T87" s="4">
        <v>239770.22000000006</v>
      </c>
      <c r="U87" s="4">
        <v>13679.82</v>
      </c>
      <c r="V87" s="4">
        <v>293313.78999999998</v>
      </c>
    </row>
    <row r="88" spans="1:22" ht="15" customHeight="1" x14ac:dyDescent="0.25">
      <c r="A88" s="30"/>
      <c r="B88" s="3" t="s">
        <v>110</v>
      </c>
      <c r="C88" s="4">
        <v>1154384.76</v>
      </c>
      <c r="D88" s="4">
        <v>0</v>
      </c>
      <c r="E88" s="4">
        <v>2223312.84</v>
      </c>
      <c r="F88" s="4">
        <v>2175104.7799999975</v>
      </c>
      <c r="G88" s="4">
        <v>1576898.4000000001</v>
      </c>
      <c r="H88" s="4">
        <v>0</v>
      </c>
      <c r="I88" s="4">
        <v>7913069.4799999921</v>
      </c>
      <c r="J88" s="4">
        <v>97360.719999999987</v>
      </c>
      <c r="K88" s="4">
        <v>7073632.5699999984</v>
      </c>
      <c r="L88" s="4">
        <v>1960912.800000001</v>
      </c>
      <c r="M88" s="4">
        <v>648826.0199999999</v>
      </c>
      <c r="N88" s="4">
        <v>0</v>
      </c>
      <c r="O88" s="4">
        <v>478410.24000000005</v>
      </c>
      <c r="P88" s="4">
        <v>2189910.7999999989</v>
      </c>
      <c r="Q88" s="4">
        <v>540716.32999999996</v>
      </c>
      <c r="R88" s="4">
        <v>63127.679999999978</v>
      </c>
      <c r="S88" s="4">
        <v>2712094.92</v>
      </c>
      <c r="T88" s="4">
        <v>2578745.6099999994</v>
      </c>
      <c r="U88" s="4">
        <v>66010.559999999969</v>
      </c>
      <c r="V88" s="4">
        <v>1379394.04</v>
      </c>
    </row>
    <row r="89" spans="1:22" ht="15" customHeight="1" x14ac:dyDescent="0.25">
      <c r="A89" s="30"/>
      <c r="B89" s="3" t="s">
        <v>111</v>
      </c>
      <c r="C89" s="4">
        <v>45008.810000000005</v>
      </c>
      <c r="D89" s="4">
        <v>0</v>
      </c>
      <c r="E89" s="4">
        <v>3880.8</v>
      </c>
      <c r="F89" s="4">
        <v>53100.660000000025</v>
      </c>
      <c r="G89" s="4">
        <v>0</v>
      </c>
      <c r="H89" s="4">
        <v>0</v>
      </c>
      <c r="I89" s="4">
        <v>197003.34999999995</v>
      </c>
      <c r="J89" s="4">
        <v>0</v>
      </c>
      <c r="K89" s="4">
        <v>74545.239999999976</v>
      </c>
      <c r="L89" s="4">
        <v>0</v>
      </c>
      <c r="M89" s="4">
        <v>5950.56</v>
      </c>
      <c r="N89" s="4">
        <v>0</v>
      </c>
      <c r="O89" s="4">
        <v>7738.5000000000009</v>
      </c>
      <c r="P89" s="4">
        <v>21290.500000000004</v>
      </c>
      <c r="Q89" s="4">
        <v>0</v>
      </c>
      <c r="R89" s="4">
        <v>0</v>
      </c>
      <c r="S89" s="4">
        <v>0</v>
      </c>
      <c r="T89" s="4">
        <v>31191.160000000011</v>
      </c>
      <c r="U89" s="4">
        <v>1940.4</v>
      </c>
      <c r="V89" s="4">
        <v>15523.2</v>
      </c>
    </row>
    <row r="90" spans="1:22" ht="15" customHeight="1" x14ac:dyDescent="0.25">
      <c r="A90" s="30"/>
      <c r="B90" s="3" t="s">
        <v>112</v>
      </c>
      <c r="C90" s="4">
        <v>153170.53999999992</v>
      </c>
      <c r="D90" s="4">
        <v>0</v>
      </c>
      <c r="E90" s="4">
        <v>91243.199999999983</v>
      </c>
      <c r="F90" s="4">
        <v>108736.80999999988</v>
      </c>
      <c r="G90" s="4">
        <v>137152.4</v>
      </c>
      <c r="H90" s="4">
        <v>80625.16</v>
      </c>
      <c r="I90" s="4">
        <v>1733147.76</v>
      </c>
      <c r="J90" s="4">
        <v>24723.64</v>
      </c>
      <c r="K90" s="4">
        <v>677148.09000000032</v>
      </c>
      <c r="L90" s="4">
        <v>59413.200000000012</v>
      </c>
      <c r="M90" s="4">
        <v>44961.729999999996</v>
      </c>
      <c r="N90" s="4">
        <v>0</v>
      </c>
      <c r="O90" s="4">
        <v>11797.940000000002</v>
      </c>
      <c r="P90" s="4">
        <v>271866.69999999995</v>
      </c>
      <c r="Q90" s="4">
        <v>9979.2000000000007</v>
      </c>
      <c r="R90" s="4">
        <v>25628.680000000004</v>
      </c>
      <c r="S90" s="4">
        <v>226979.21999999994</v>
      </c>
      <c r="T90" s="4">
        <v>235465.16</v>
      </c>
      <c r="U90" s="4">
        <v>17031.010000000002</v>
      </c>
      <c r="V90" s="4">
        <v>130624.33999999998</v>
      </c>
    </row>
    <row r="91" spans="1:22" ht="15" customHeight="1" x14ac:dyDescent="0.25">
      <c r="A91" s="30"/>
      <c r="B91" s="3" t="s">
        <v>113</v>
      </c>
      <c r="C91" s="4">
        <v>3957.7999999999997</v>
      </c>
      <c r="D91" s="4">
        <v>0</v>
      </c>
      <c r="E91" s="4">
        <v>0</v>
      </c>
      <c r="F91" s="4">
        <v>18348.600000000002</v>
      </c>
      <c r="G91" s="4">
        <v>0</v>
      </c>
      <c r="H91" s="4">
        <v>0</v>
      </c>
      <c r="I91" s="4">
        <v>-493.57</v>
      </c>
      <c r="J91" s="4">
        <v>0</v>
      </c>
      <c r="K91" s="4">
        <v>8325</v>
      </c>
      <c r="L91" s="4">
        <v>0</v>
      </c>
      <c r="M91" s="4">
        <v>-3193.2000000000003</v>
      </c>
      <c r="N91" s="4">
        <v>0</v>
      </c>
      <c r="O91" s="4">
        <v>0</v>
      </c>
      <c r="P91" s="4">
        <v>20746.32</v>
      </c>
      <c r="Q91" s="4">
        <v>0</v>
      </c>
      <c r="R91" s="4">
        <v>0</v>
      </c>
      <c r="S91" s="4">
        <v>3104.64</v>
      </c>
      <c r="T91" s="4">
        <v>0</v>
      </c>
      <c r="U91" s="4">
        <v>0</v>
      </c>
      <c r="V91" s="4">
        <v>0</v>
      </c>
    </row>
    <row r="92" spans="1:22" ht="15" customHeight="1" x14ac:dyDescent="0.25">
      <c r="A92" s="30"/>
      <c r="B92" s="3" t="s">
        <v>114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11690.14</v>
      </c>
      <c r="L92" s="4">
        <v>0</v>
      </c>
      <c r="M92" s="4">
        <v>4122.58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</row>
    <row r="93" spans="1:22" ht="15" customHeight="1" x14ac:dyDescent="0.25">
      <c r="A93" s="30"/>
      <c r="B93" s="3" t="s">
        <v>115</v>
      </c>
      <c r="C93" s="4">
        <v>-22955.84</v>
      </c>
      <c r="D93" s="4">
        <v>-10453.98</v>
      </c>
      <c r="E93" s="4">
        <v>-123910.04000000001</v>
      </c>
      <c r="F93" s="4">
        <v>-421331.67999999993</v>
      </c>
      <c r="G93" s="4">
        <v>0</v>
      </c>
      <c r="H93" s="4">
        <v>0</v>
      </c>
      <c r="I93" s="4">
        <v>-1407390.4100000001</v>
      </c>
      <c r="J93" s="4">
        <v>-13962.84</v>
      </c>
      <c r="K93" s="4">
        <v>-1309908.6599999999</v>
      </c>
      <c r="L93" s="4">
        <v>-29943.440000000002</v>
      </c>
      <c r="M93" s="4">
        <v>-1003579.1399999999</v>
      </c>
      <c r="N93" s="4">
        <v>0</v>
      </c>
      <c r="O93" s="4">
        <v>-52834</v>
      </c>
      <c r="P93" s="4">
        <v>-318735.17</v>
      </c>
      <c r="Q93" s="4">
        <v>-65873.659999999989</v>
      </c>
      <c r="R93" s="4">
        <v>0</v>
      </c>
      <c r="S93" s="4">
        <v>-251730.31</v>
      </c>
      <c r="T93" s="4">
        <v>-11350.5</v>
      </c>
      <c r="U93" s="4">
        <v>-6096.0099999999993</v>
      </c>
      <c r="V93" s="4">
        <v>0</v>
      </c>
    </row>
    <row r="94" spans="1:22" ht="15" customHeight="1" x14ac:dyDescent="0.25">
      <c r="A94" s="30"/>
      <c r="B94" s="3" t="s">
        <v>116</v>
      </c>
      <c r="C94" s="4">
        <v>0</v>
      </c>
      <c r="D94" s="4">
        <v>0</v>
      </c>
      <c r="E94" s="4">
        <v>1031.8</v>
      </c>
      <c r="F94" s="4">
        <v>-469.69999999999982</v>
      </c>
      <c r="G94" s="4">
        <v>0</v>
      </c>
      <c r="H94" s="4">
        <v>0</v>
      </c>
      <c r="I94" s="4">
        <v>-14017.310000000001</v>
      </c>
      <c r="J94" s="4">
        <v>0</v>
      </c>
      <c r="K94" s="4">
        <v>3018.3999999999996</v>
      </c>
      <c r="L94" s="4">
        <v>0</v>
      </c>
      <c r="M94" s="4">
        <v>23421.86</v>
      </c>
      <c r="N94" s="4">
        <v>0</v>
      </c>
      <c r="O94" s="4">
        <v>0</v>
      </c>
      <c r="P94" s="4">
        <v>7403.5499999999993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10204.039999999997</v>
      </c>
    </row>
    <row r="95" spans="1:22" ht="15" customHeight="1" x14ac:dyDescent="0.25">
      <c r="A95" s="30"/>
      <c r="B95" s="3" t="s">
        <v>117</v>
      </c>
      <c r="C95" s="4">
        <v>13152.369999999999</v>
      </c>
      <c r="D95" s="4">
        <v>0</v>
      </c>
      <c r="E95" s="4">
        <v>108538.12000000001</v>
      </c>
      <c r="F95" s="4">
        <v>43488.06</v>
      </c>
      <c r="G95" s="4">
        <v>0</v>
      </c>
      <c r="H95" s="4">
        <v>0</v>
      </c>
      <c r="I95" s="4">
        <v>142423.66999999995</v>
      </c>
      <c r="J95" s="4">
        <v>0</v>
      </c>
      <c r="K95" s="4">
        <v>172038.02000000011</v>
      </c>
      <c r="L95" s="4">
        <v>6976.1999999999989</v>
      </c>
      <c r="M95" s="4">
        <v>32758.11</v>
      </c>
      <c r="N95" s="4">
        <v>0</v>
      </c>
      <c r="O95" s="4">
        <v>0</v>
      </c>
      <c r="P95" s="4">
        <v>30004.44</v>
      </c>
      <c r="Q95" s="4">
        <v>-4295.37</v>
      </c>
      <c r="R95" s="4">
        <v>0</v>
      </c>
      <c r="S95" s="4">
        <v>37917.109999999993</v>
      </c>
      <c r="T95" s="4">
        <v>2863.63</v>
      </c>
      <c r="U95" s="4">
        <v>3765.2999999999997</v>
      </c>
      <c r="V95" s="4">
        <v>83007.540000000023</v>
      </c>
    </row>
    <row r="96" spans="1:22" ht="15" customHeight="1" x14ac:dyDescent="0.25">
      <c r="A96" s="30"/>
      <c r="B96" s="3" t="s">
        <v>118</v>
      </c>
      <c r="C96" s="4">
        <v>0</v>
      </c>
      <c r="D96" s="4">
        <v>0</v>
      </c>
      <c r="E96" s="4">
        <v>58871.88999999997</v>
      </c>
      <c r="F96" s="4">
        <v>1375.2200000000003</v>
      </c>
      <c r="G96" s="4">
        <v>0</v>
      </c>
      <c r="H96" s="4">
        <v>0</v>
      </c>
      <c r="I96" s="4">
        <v>-790.79</v>
      </c>
      <c r="J96" s="4">
        <v>0</v>
      </c>
      <c r="K96" s="4">
        <v>61228.089999999975</v>
      </c>
      <c r="L96" s="4">
        <v>7275.7300000000005</v>
      </c>
      <c r="M96" s="4">
        <v>2211.4399999999996</v>
      </c>
      <c r="N96" s="4">
        <v>0</v>
      </c>
      <c r="O96" s="4">
        <v>0</v>
      </c>
      <c r="P96" s="4">
        <v>3996.3</v>
      </c>
      <c r="Q96" s="4">
        <v>0</v>
      </c>
      <c r="R96" s="4">
        <v>0</v>
      </c>
      <c r="S96" s="4">
        <v>8778.7700000000023</v>
      </c>
      <c r="T96" s="4">
        <v>47086.269999999982</v>
      </c>
      <c r="U96" s="4">
        <v>0</v>
      </c>
      <c r="V96" s="4">
        <v>31970.400000000005</v>
      </c>
    </row>
    <row r="97" spans="1:22" ht="15" customHeight="1" x14ac:dyDescent="0.25">
      <c r="A97" s="30"/>
      <c r="B97" s="3" t="s">
        <v>119</v>
      </c>
      <c r="C97" s="4">
        <v>86383.45</v>
      </c>
      <c r="D97" s="4">
        <v>0</v>
      </c>
      <c r="E97" s="4">
        <v>39306.960000000006</v>
      </c>
      <c r="F97" s="4">
        <v>68500.740000000005</v>
      </c>
      <c r="G97" s="4">
        <v>0</v>
      </c>
      <c r="H97" s="4">
        <v>16632</v>
      </c>
      <c r="I97" s="4">
        <v>28289.030000000002</v>
      </c>
      <c r="J97" s="4">
        <v>0</v>
      </c>
      <c r="K97" s="4">
        <v>695296.67999999993</v>
      </c>
      <c r="L97" s="4">
        <v>32215.260000000002</v>
      </c>
      <c r="M97" s="4">
        <v>31554.6</v>
      </c>
      <c r="N97" s="4">
        <v>0</v>
      </c>
      <c r="O97" s="4">
        <v>693</v>
      </c>
      <c r="P97" s="4">
        <v>107775.36</v>
      </c>
      <c r="Q97" s="4">
        <v>-1055.3599999999999</v>
      </c>
      <c r="R97" s="4">
        <v>0</v>
      </c>
      <c r="S97" s="4">
        <v>427072.8000000001</v>
      </c>
      <c r="T97" s="4">
        <v>102577.86000000002</v>
      </c>
      <c r="U97" s="4">
        <v>17685.359999999997</v>
      </c>
      <c r="V97" s="4">
        <v>98701.680000000008</v>
      </c>
    </row>
    <row r="98" spans="1:22" ht="15" customHeight="1" x14ac:dyDescent="0.25">
      <c r="A98" s="30"/>
      <c r="B98" s="3" t="s">
        <v>120</v>
      </c>
      <c r="C98" s="4">
        <v>50441.930000000008</v>
      </c>
      <c r="D98" s="4">
        <v>0</v>
      </c>
      <c r="E98" s="4">
        <v>76295.450000000012</v>
      </c>
      <c r="F98" s="4">
        <v>95922.749999999971</v>
      </c>
      <c r="G98" s="4">
        <v>0</v>
      </c>
      <c r="H98" s="4">
        <v>0</v>
      </c>
      <c r="I98" s="4">
        <v>54240.879999999976</v>
      </c>
      <c r="J98" s="4">
        <v>0</v>
      </c>
      <c r="K98" s="4">
        <v>247457.21</v>
      </c>
      <c r="L98" s="4">
        <v>20720.7</v>
      </c>
      <c r="M98" s="4">
        <v>7689.84</v>
      </c>
      <c r="N98" s="4">
        <v>0</v>
      </c>
      <c r="O98" s="4">
        <v>23677.499999999996</v>
      </c>
      <c r="P98" s="4">
        <v>105410.68999999993</v>
      </c>
      <c r="Q98" s="4">
        <v>15675.660000000002</v>
      </c>
      <c r="R98" s="4">
        <v>0</v>
      </c>
      <c r="S98" s="4">
        <v>73076.619999999981</v>
      </c>
      <c r="T98" s="4">
        <v>0</v>
      </c>
      <c r="U98" s="4">
        <v>10960.95</v>
      </c>
      <c r="V98" s="4">
        <v>61780.950000000012</v>
      </c>
    </row>
    <row r="99" spans="1:22" ht="15" customHeight="1" x14ac:dyDescent="0.25">
      <c r="A99" s="30"/>
      <c r="B99" s="3" t="s">
        <v>121</v>
      </c>
      <c r="C99" s="4">
        <v>0</v>
      </c>
      <c r="D99" s="4">
        <v>0</v>
      </c>
      <c r="E99" s="4">
        <v>-107.03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-668.36</v>
      </c>
      <c r="L99" s="4">
        <v>0</v>
      </c>
      <c r="M99" s="4">
        <v>-1948.1000000000001</v>
      </c>
      <c r="N99" s="4">
        <v>0</v>
      </c>
      <c r="O99" s="4">
        <v>0</v>
      </c>
      <c r="P99" s="4">
        <v>-799.26</v>
      </c>
      <c r="Q99" s="4">
        <v>0</v>
      </c>
      <c r="R99" s="4">
        <v>0</v>
      </c>
      <c r="S99" s="4">
        <v>-428.12</v>
      </c>
      <c r="T99" s="4">
        <v>0</v>
      </c>
      <c r="U99" s="4">
        <v>0</v>
      </c>
      <c r="V99" s="4">
        <v>0</v>
      </c>
    </row>
    <row r="100" spans="1:22" ht="15" customHeight="1" x14ac:dyDescent="0.25">
      <c r="A100" s="30"/>
      <c r="B100" s="3" t="s">
        <v>122</v>
      </c>
      <c r="C100" s="4">
        <v>0</v>
      </c>
      <c r="D100" s="4">
        <v>0</v>
      </c>
      <c r="E100" s="4">
        <v>2356.1999999999998</v>
      </c>
      <c r="F100" s="4">
        <v>-369.6</v>
      </c>
      <c r="G100" s="4">
        <v>0</v>
      </c>
      <c r="H100" s="4">
        <v>0</v>
      </c>
      <c r="I100" s="4">
        <v>4623.6999999999989</v>
      </c>
      <c r="J100" s="4">
        <v>0</v>
      </c>
      <c r="K100" s="4">
        <v>0</v>
      </c>
      <c r="L100" s="4">
        <v>0</v>
      </c>
      <c r="M100" s="4">
        <v>11781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</row>
    <row r="101" spans="1:22" ht="15" customHeight="1" x14ac:dyDescent="0.25">
      <c r="A101" s="30"/>
      <c r="B101" s="3" t="s">
        <v>123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489.72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</row>
    <row r="102" spans="1:22" ht="15" customHeight="1" x14ac:dyDescent="0.25">
      <c r="A102" s="30"/>
      <c r="B102" s="3" t="s">
        <v>124</v>
      </c>
      <c r="C102" s="4">
        <v>-127.04999999999961</v>
      </c>
      <c r="D102" s="4">
        <v>0</v>
      </c>
      <c r="E102" s="4">
        <v>2936.7</v>
      </c>
      <c r="F102" s="4">
        <v>35562.760000000009</v>
      </c>
      <c r="G102" s="4">
        <v>0</v>
      </c>
      <c r="H102" s="4">
        <v>0</v>
      </c>
      <c r="I102" s="4">
        <v>3812.7299999999987</v>
      </c>
      <c r="J102" s="4">
        <v>0</v>
      </c>
      <c r="K102" s="4">
        <v>27955.39000000001</v>
      </c>
      <c r="L102" s="4">
        <v>2414.7199999999998</v>
      </c>
      <c r="M102" s="4">
        <v>8365.2800000000043</v>
      </c>
      <c r="N102" s="4">
        <v>0</v>
      </c>
      <c r="O102" s="4">
        <v>0</v>
      </c>
      <c r="P102" s="4">
        <v>9028.0900000000038</v>
      </c>
      <c r="Q102" s="4">
        <v>10435.040000000005</v>
      </c>
      <c r="R102" s="4">
        <v>0</v>
      </c>
      <c r="S102" s="4">
        <v>27510.559999999998</v>
      </c>
      <c r="T102" s="4">
        <v>10866.240000000009</v>
      </c>
      <c r="U102" s="4">
        <v>0</v>
      </c>
      <c r="V102" s="4">
        <v>13453.440000000006</v>
      </c>
    </row>
    <row r="103" spans="1:22" ht="15" customHeight="1" x14ac:dyDescent="0.25">
      <c r="A103" s="30"/>
      <c r="B103" s="3" t="s">
        <v>125</v>
      </c>
      <c r="C103" s="4">
        <v>-634.08999999999935</v>
      </c>
      <c r="D103" s="4">
        <v>0</v>
      </c>
      <c r="E103" s="4">
        <v>0</v>
      </c>
      <c r="F103" s="4">
        <v>2879.8</v>
      </c>
      <c r="G103" s="4">
        <v>0</v>
      </c>
      <c r="H103" s="4">
        <v>0</v>
      </c>
      <c r="I103" s="4">
        <v>-4935.8499999999985</v>
      </c>
      <c r="J103" s="4">
        <v>0</v>
      </c>
      <c r="K103" s="4">
        <v>82587.119999999966</v>
      </c>
      <c r="L103" s="4">
        <v>0</v>
      </c>
      <c r="M103" s="4">
        <v>0</v>
      </c>
      <c r="N103" s="4">
        <v>0</v>
      </c>
      <c r="O103" s="4">
        <v>0</v>
      </c>
      <c r="P103" s="4">
        <v>16668.96</v>
      </c>
      <c r="Q103" s="4">
        <v>-5470.46</v>
      </c>
      <c r="R103" s="4">
        <v>0</v>
      </c>
      <c r="S103" s="4">
        <v>5686.45</v>
      </c>
      <c r="T103" s="4">
        <v>657.58</v>
      </c>
      <c r="U103" s="4">
        <v>2069.7600000000002</v>
      </c>
      <c r="V103" s="4">
        <v>20822.34</v>
      </c>
    </row>
    <row r="104" spans="1:22" ht="15" customHeight="1" x14ac:dyDescent="0.25">
      <c r="A104" s="30"/>
      <c r="B104" s="3" t="s">
        <v>126</v>
      </c>
      <c r="C104" s="4">
        <v>27116.320000000011</v>
      </c>
      <c r="D104" s="4">
        <v>0</v>
      </c>
      <c r="E104" s="4">
        <v>77031.570000000022</v>
      </c>
      <c r="F104" s="4">
        <v>163889.57000000004</v>
      </c>
      <c r="G104" s="4">
        <v>0</v>
      </c>
      <c r="H104" s="4">
        <v>6504.9599999999991</v>
      </c>
      <c r="I104" s="4">
        <v>422837.94999999937</v>
      </c>
      <c r="J104" s="4">
        <v>0</v>
      </c>
      <c r="K104" s="4">
        <v>286797.11999999994</v>
      </c>
      <c r="L104" s="4">
        <v>50196.300000000025</v>
      </c>
      <c r="M104" s="4">
        <v>28434.559999999994</v>
      </c>
      <c r="N104" s="4">
        <v>0</v>
      </c>
      <c r="O104" s="4">
        <v>6888.4199999999983</v>
      </c>
      <c r="P104" s="4">
        <v>126608.02000000008</v>
      </c>
      <c r="Q104" s="4">
        <v>150902.44</v>
      </c>
      <c r="R104" s="4">
        <v>0</v>
      </c>
      <c r="S104" s="4">
        <v>109309.03000000009</v>
      </c>
      <c r="T104" s="4">
        <v>105521.26000000008</v>
      </c>
      <c r="U104" s="4">
        <v>1774.08</v>
      </c>
      <c r="V104" s="4">
        <v>67900.140000000029</v>
      </c>
    </row>
    <row r="105" spans="1:22" ht="15" customHeight="1" x14ac:dyDescent="0.25">
      <c r="A105" s="30"/>
      <c r="B105" s="3" t="s">
        <v>127</v>
      </c>
      <c r="C105" s="4">
        <v>0</v>
      </c>
      <c r="D105" s="4">
        <v>0</v>
      </c>
      <c r="E105" s="4">
        <v>0</v>
      </c>
      <c r="F105" s="4">
        <v>59551.8</v>
      </c>
      <c r="G105" s="4">
        <v>0</v>
      </c>
      <c r="H105" s="4">
        <v>0</v>
      </c>
      <c r="I105" s="4">
        <v>40593.020000000004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</row>
    <row r="106" spans="1:22" ht="15" customHeight="1" x14ac:dyDescent="0.25">
      <c r="A106" s="30"/>
      <c r="B106" s="3" t="s">
        <v>128</v>
      </c>
      <c r="C106" s="4">
        <v>452.76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-4254.3999999999996</v>
      </c>
      <c r="J106" s="4">
        <v>0</v>
      </c>
      <c r="K106" s="4">
        <v>7724.7900000000027</v>
      </c>
      <c r="L106" s="4">
        <v>8602.44</v>
      </c>
      <c r="M106" s="4">
        <v>-683.76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937.86</v>
      </c>
      <c r="T106" s="4">
        <v>0</v>
      </c>
      <c r="U106" s="4">
        <v>0</v>
      </c>
      <c r="V106" s="4">
        <v>13146.210000000001</v>
      </c>
    </row>
    <row r="107" spans="1:22" ht="15" customHeight="1" x14ac:dyDescent="0.25">
      <c r="A107" s="30"/>
      <c r="B107" s="3" t="s">
        <v>129</v>
      </c>
      <c r="C107" s="4">
        <v>14671.08</v>
      </c>
      <c r="D107" s="4">
        <v>0</v>
      </c>
      <c r="E107" s="4">
        <v>6510.0400000000009</v>
      </c>
      <c r="F107" s="4">
        <v>283248.43000000005</v>
      </c>
      <c r="G107" s="4">
        <v>0</v>
      </c>
      <c r="H107" s="4">
        <v>103350.43000000001</v>
      </c>
      <c r="I107" s="4">
        <v>505459.02999999991</v>
      </c>
      <c r="J107" s="4">
        <v>0</v>
      </c>
      <c r="K107" s="4">
        <v>396968.26999999996</v>
      </c>
      <c r="L107" s="4">
        <v>89657.900000000009</v>
      </c>
      <c r="M107" s="4">
        <v>77913</v>
      </c>
      <c r="N107" s="4">
        <v>102644.51000000001</v>
      </c>
      <c r="O107" s="4">
        <v>0</v>
      </c>
      <c r="P107" s="4">
        <v>61220.530000000006</v>
      </c>
      <c r="Q107" s="4">
        <v>-481.25</v>
      </c>
      <c r="R107" s="4">
        <v>0</v>
      </c>
      <c r="S107" s="4">
        <v>126853.20000000001</v>
      </c>
      <c r="T107" s="4">
        <v>-134.75</v>
      </c>
      <c r="U107" s="4">
        <v>26390.73</v>
      </c>
      <c r="V107" s="4">
        <v>192713.35</v>
      </c>
    </row>
    <row r="108" spans="1:22" ht="15" customHeight="1" x14ac:dyDescent="0.25">
      <c r="A108" s="30"/>
      <c r="B108" s="3" t="s">
        <v>130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8334.48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3160.08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</row>
    <row r="109" spans="1:22" ht="15" customHeight="1" x14ac:dyDescent="0.25">
      <c r="A109" s="30"/>
      <c r="B109" s="3" t="s">
        <v>131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-2407.02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</row>
    <row r="110" spans="1:22" ht="15" customHeight="1" x14ac:dyDescent="0.25">
      <c r="A110" s="30"/>
      <c r="B110" s="3" t="s">
        <v>132</v>
      </c>
      <c r="C110" s="4">
        <v>13375.36</v>
      </c>
      <c r="D110" s="4">
        <v>0</v>
      </c>
      <c r="E110" s="4">
        <v>9831.36</v>
      </c>
      <c r="F110" s="4">
        <v>63999.17</v>
      </c>
      <c r="G110" s="4">
        <v>0</v>
      </c>
      <c r="H110" s="4">
        <v>0</v>
      </c>
      <c r="I110" s="4">
        <v>-73814.200000000012</v>
      </c>
      <c r="J110" s="4">
        <v>0</v>
      </c>
      <c r="K110" s="4">
        <v>64027.959999999992</v>
      </c>
      <c r="L110" s="4">
        <v>28376.489999999998</v>
      </c>
      <c r="M110" s="4">
        <v>-21498.850000000002</v>
      </c>
      <c r="N110" s="4">
        <v>0</v>
      </c>
      <c r="O110" s="4">
        <v>0</v>
      </c>
      <c r="P110" s="4">
        <v>11645.48</v>
      </c>
      <c r="Q110" s="4">
        <v>693</v>
      </c>
      <c r="R110" s="4">
        <v>0</v>
      </c>
      <c r="S110" s="4">
        <v>29373.96</v>
      </c>
      <c r="T110" s="4">
        <v>81088.700000000012</v>
      </c>
      <c r="U110" s="4">
        <v>0</v>
      </c>
      <c r="V110" s="4">
        <v>55407.729999999996</v>
      </c>
    </row>
    <row r="111" spans="1:22" ht="15" customHeight="1" x14ac:dyDescent="0.25">
      <c r="A111" s="30"/>
      <c r="B111" s="3" t="s">
        <v>133</v>
      </c>
      <c r="C111" s="4">
        <v>9188.0300000000007</v>
      </c>
      <c r="D111" s="4">
        <v>0</v>
      </c>
      <c r="E111" s="4">
        <v>22368.65</v>
      </c>
      <c r="F111" s="4">
        <v>15446.98</v>
      </c>
      <c r="G111" s="4">
        <v>0</v>
      </c>
      <c r="H111" s="4">
        <v>0</v>
      </c>
      <c r="I111" s="4">
        <v>-3024.55</v>
      </c>
      <c r="J111" s="4">
        <v>0</v>
      </c>
      <c r="K111" s="4">
        <v>63040.060000000019</v>
      </c>
      <c r="L111" s="4">
        <v>12267.64</v>
      </c>
      <c r="M111" s="4">
        <v>-1033.3399999999999</v>
      </c>
      <c r="N111" s="4">
        <v>0</v>
      </c>
      <c r="O111" s="4">
        <v>0</v>
      </c>
      <c r="P111" s="4">
        <v>22131.420000000002</v>
      </c>
      <c r="Q111" s="4">
        <v>3719.95</v>
      </c>
      <c r="R111" s="4">
        <v>0</v>
      </c>
      <c r="S111" s="4">
        <v>13016.85</v>
      </c>
      <c r="T111" s="4">
        <v>1238.1600000000001</v>
      </c>
      <c r="U111" s="4">
        <v>154.54000000000002</v>
      </c>
      <c r="V111" s="4">
        <v>7161</v>
      </c>
    </row>
    <row r="112" spans="1:22" ht="15" customHeight="1" x14ac:dyDescent="0.25">
      <c r="A112" s="30"/>
      <c r="B112" s="3" t="s">
        <v>134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-931.7</v>
      </c>
      <c r="J112" s="4">
        <v>0</v>
      </c>
      <c r="K112" s="4">
        <v>889.35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</row>
    <row r="113" spans="1:22" ht="15" customHeight="1" x14ac:dyDescent="0.25">
      <c r="A113" s="30"/>
      <c r="B113" s="3" t="s">
        <v>135</v>
      </c>
      <c r="C113" s="4">
        <v>24947.999999999996</v>
      </c>
      <c r="D113" s="4">
        <v>0</v>
      </c>
      <c r="E113" s="4">
        <v>3742.2000000000003</v>
      </c>
      <c r="F113" s="4">
        <v>39943.210000000006</v>
      </c>
      <c r="G113" s="4">
        <v>0</v>
      </c>
      <c r="H113" s="4">
        <v>0</v>
      </c>
      <c r="I113" s="4">
        <v>205549.42</v>
      </c>
      <c r="J113" s="4">
        <v>0</v>
      </c>
      <c r="K113" s="4">
        <v>83742.89</v>
      </c>
      <c r="L113" s="4">
        <v>7484.4</v>
      </c>
      <c r="M113" s="4">
        <v>9147.6</v>
      </c>
      <c r="N113" s="4">
        <v>0</v>
      </c>
      <c r="O113" s="4">
        <v>21261.239999999998</v>
      </c>
      <c r="P113" s="4">
        <v>38780.280000000006</v>
      </c>
      <c r="Q113" s="4">
        <v>8731.7999999999993</v>
      </c>
      <c r="R113" s="4">
        <v>0</v>
      </c>
      <c r="S113" s="4">
        <v>2494.8000000000002</v>
      </c>
      <c r="T113" s="4">
        <v>50277.150000000009</v>
      </c>
      <c r="U113" s="4">
        <v>0</v>
      </c>
      <c r="V113" s="4">
        <v>23700.600000000002</v>
      </c>
    </row>
    <row r="114" spans="1:22" ht="15" customHeight="1" x14ac:dyDescent="0.25">
      <c r="A114" s="30"/>
      <c r="B114" s="3" t="s">
        <v>136</v>
      </c>
      <c r="C114" s="4">
        <v>70294.84</v>
      </c>
      <c r="D114" s="4">
        <v>0</v>
      </c>
      <c r="E114" s="4">
        <v>94351.599999999977</v>
      </c>
      <c r="F114" s="4">
        <v>177555.07000000007</v>
      </c>
      <c r="G114" s="4">
        <v>0</v>
      </c>
      <c r="H114" s="4">
        <v>0</v>
      </c>
      <c r="I114" s="4">
        <v>759192.74000000022</v>
      </c>
      <c r="J114" s="4">
        <v>0</v>
      </c>
      <c r="K114" s="4">
        <v>399741.16000000015</v>
      </c>
      <c r="L114" s="4">
        <v>85414.290000000008</v>
      </c>
      <c r="M114" s="4">
        <v>61204.99</v>
      </c>
      <c r="N114" s="4">
        <v>0</v>
      </c>
      <c r="O114" s="4">
        <v>15755.739999999996</v>
      </c>
      <c r="P114" s="4">
        <v>157557.4</v>
      </c>
      <c r="Q114" s="4">
        <v>24239.600000000002</v>
      </c>
      <c r="R114" s="4">
        <v>0</v>
      </c>
      <c r="S114" s="4">
        <v>119986.02000000002</v>
      </c>
      <c r="T114" s="4">
        <v>553171.91000000027</v>
      </c>
      <c r="U114" s="4">
        <v>-2423.9600000000009</v>
      </c>
      <c r="V114" s="4">
        <v>89080.53</v>
      </c>
    </row>
    <row r="115" spans="1:22" ht="15" customHeight="1" x14ac:dyDescent="0.25">
      <c r="A115" s="30"/>
      <c r="B115" s="3" t="s">
        <v>137</v>
      </c>
      <c r="C115" s="4">
        <v>0</v>
      </c>
      <c r="D115" s="4">
        <v>0</v>
      </c>
      <c r="E115" s="4">
        <v>3187.8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1062.5999999999999</v>
      </c>
      <c r="P115" s="4">
        <v>0</v>
      </c>
      <c r="Q115" s="4">
        <v>0</v>
      </c>
      <c r="R115" s="4">
        <v>0</v>
      </c>
      <c r="S115" s="4">
        <v>3187.8000000000011</v>
      </c>
      <c r="T115" s="4">
        <v>0</v>
      </c>
      <c r="U115" s="4">
        <v>0</v>
      </c>
      <c r="V115" s="4">
        <v>0</v>
      </c>
    </row>
    <row r="116" spans="1:22" ht="15" customHeight="1" x14ac:dyDescent="0.25">
      <c r="A116" s="30"/>
      <c r="B116" s="3" t="s">
        <v>138</v>
      </c>
      <c r="C116" s="4">
        <v>15155.829999999996</v>
      </c>
      <c r="D116" s="4">
        <v>0</v>
      </c>
      <c r="E116" s="4">
        <v>43153.96</v>
      </c>
      <c r="F116" s="4">
        <v>46886.789999999994</v>
      </c>
      <c r="G116" s="4">
        <v>8279.0400000000009</v>
      </c>
      <c r="H116" s="4">
        <v>0</v>
      </c>
      <c r="I116" s="4">
        <v>64842.449999999961</v>
      </c>
      <c r="J116" s="4">
        <v>0</v>
      </c>
      <c r="K116" s="4">
        <v>75927.62999999999</v>
      </c>
      <c r="L116" s="4">
        <v>15643.319999999998</v>
      </c>
      <c r="M116" s="4">
        <v>26966.179999999993</v>
      </c>
      <c r="N116" s="4">
        <v>0</v>
      </c>
      <c r="O116" s="4">
        <v>0</v>
      </c>
      <c r="P116" s="4">
        <v>11436.81</v>
      </c>
      <c r="Q116" s="4">
        <v>20995.199999999997</v>
      </c>
      <c r="R116" s="4">
        <v>5396.16</v>
      </c>
      <c r="S116" s="4">
        <v>47690.719999999987</v>
      </c>
      <c r="T116" s="4">
        <v>19293.12</v>
      </c>
      <c r="U116" s="4">
        <v>468.16</v>
      </c>
      <c r="V116" s="4">
        <v>74631.930000000008</v>
      </c>
    </row>
    <row r="117" spans="1:22" ht="15" customHeight="1" x14ac:dyDescent="0.25">
      <c r="A117" s="30"/>
      <c r="B117" s="3" t="s">
        <v>139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2219.1400000000003</v>
      </c>
      <c r="J117" s="4">
        <v>0</v>
      </c>
      <c r="K117" s="4">
        <v>605.22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</row>
    <row r="118" spans="1:22" ht="15" customHeight="1" x14ac:dyDescent="0.25">
      <c r="A118" s="30"/>
      <c r="B118" s="3" t="s">
        <v>140</v>
      </c>
      <c r="C118" s="4">
        <v>0</v>
      </c>
      <c r="D118" s="4">
        <v>37837.799999999996</v>
      </c>
      <c r="E118" s="4">
        <v>1386</v>
      </c>
      <c r="F118" s="4">
        <v>6403.1600000000008</v>
      </c>
      <c r="G118" s="4">
        <v>0</v>
      </c>
      <c r="H118" s="4">
        <v>0</v>
      </c>
      <c r="I118" s="4">
        <v>148166.79000000004</v>
      </c>
      <c r="J118" s="4">
        <v>0</v>
      </c>
      <c r="K118" s="4">
        <v>105388.59000000004</v>
      </c>
      <c r="L118" s="4">
        <v>38896.550000000017</v>
      </c>
      <c r="M118" s="4">
        <v>11081.84</v>
      </c>
      <c r="N118" s="4">
        <v>0</v>
      </c>
      <c r="O118" s="4">
        <v>0</v>
      </c>
      <c r="P118" s="4">
        <v>598.5999999999998</v>
      </c>
      <c r="Q118" s="4">
        <v>4281.2</v>
      </c>
      <c r="R118" s="4">
        <v>0</v>
      </c>
      <c r="S118" s="4">
        <v>0</v>
      </c>
      <c r="T118" s="4">
        <v>0</v>
      </c>
      <c r="U118" s="4">
        <v>0</v>
      </c>
      <c r="V118" s="4">
        <v>6587.35</v>
      </c>
    </row>
    <row r="119" spans="1:22" ht="15" customHeight="1" x14ac:dyDescent="0.25">
      <c r="A119" s="30"/>
      <c r="B119" s="3" t="s">
        <v>141</v>
      </c>
      <c r="C119" s="4">
        <v>12518.659999999994</v>
      </c>
      <c r="D119" s="4">
        <v>0</v>
      </c>
      <c r="E119" s="4">
        <v>6828.3600000000006</v>
      </c>
      <c r="F119" s="4">
        <v>3987.83</v>
      </c>
      <c r="G119" s="4">
        <v>0</v>
      </c>
      <c r="H119" s="4">
        <v>0</v>
      </c>
      <c r="I119" s="4">
        <v>19671.800000000007</v>
      </c>
      <c r="J119" s="4">
        <v>0</v>
      </c>
      <c r="K119" s="4">
        <v>39967.62000000001</v>
      </c>
      <c r="L119" s="4">
        <v>10792.32</v>
      </c>
      <c r="M119" s="4">
        <v>6320.16</v>
      </c>
      <c r="N119" s="4">
        <v>0</v>
      </c>
      <c r="O119" s="4">
        <v>0</v>
      </c>
      <c r="P119" s="4">
        <v>322.09000000000003</v>
      </c>
      <c r="Q119" s="4">
        <v>6354.04</v>
      </c>
      <c r="R119" s="4">
        <v>0</v>
      </c>
      <c r="S119" s="4">
        <v>544.54</v>
      </c>
      <c r="T119" s="4">
        <v>2294.6000000000004</v>
      </c>
      <c r="U119" s="4">
        <v>0</v>
      </c>
      <c r="V119" s="4">
        <v>10367.280000000001</v>
      </c>
    </row>
    <row r="120" spans="1:22" ht="15" customHeight="1" x14ac:dyDescent="0.25">
      <c r="A120" s="30"/>
      <c r="B120" s="3" t="s">
        <v>142</v>
      </c>
      <c r="C120" s="4">
        <v>15024.24</v>
      </c>
      <c r="D120" s="4">
        <v>0</v>
      </c>
      <c r="E120" s="4">
        <v>0</v>
      </c>
      <c r="F120" s="4">
        <v>25319.14</v>
      </c>
      <c r="G120" s="4">
        <v>0</v>
      </c>
      <c r="H120" s="4">
        <v>0</v>
      </c>
      <c r="I120" s="4">
        <v>-2467.08</v>
      </c>
      <c r="J120" s="4">
        <v>0</v>
      </c>
      <c r="K120" s="4">
        <v>108436.32</v>
      </c>
      <c r="L120" s="4">
        <v>0</v>
      </c>
      <c r="M120" s="4">
        <v>3954.7199999999993</v>
      </c>
      <c r="N120" s="4">
        <v>0</v>
      </c>
      <c r="O120" s="4">
        <v>0</v>
      </c>
      <c r="P120" s="4">
        <v>-1775</v>
      </c>
      <c r="Q120" s="4">
        <v>5918.9900000000007</v>
      </c>
      <c r="R120" s="4">
        <v>0</v>
      </c>
      <c r="S120" s="4">
        <v>1911.1399999999999</v>
      </c>
      <c r="T120" s="4">
        <v>34814.78</v>
      </c>
      <c r="U120" s="4">
        <v>0</v>
      </c>
      <c r="V120" s="4">
        <v>18156.599999999999</v>
      </c>
    </row>
    <row r="121" spans="1:22" ht="15" customHeight="1" x14ac:dyDescent="0.25">
      <c r="A121" s="30"/>
      <c r="B121" s="3" t="s">
        <v>143</v>
      </c>
      <c r="C121" s="4">
        <v>0</v>
      </c>
      <c r="D121" s="4">
        <v>0</v>
      </c>
      <c r="E121" s="4">
        <v>0</v>
      </c>
      <c r="F121" s="4">
        <v>-1713.2500000000009</v>
      </c>
      <c r="G121" s="4">
        <v>0</v>
      </c>
      <c r="H121" s="4">
        <v>0</v>
      </c>
      <c r="I121" s="4">
        <v>0</v>
      </c>
      <c r="J121" s="4">
        <v>0</v>
      </c>
      <c r="K121" s="4">
        <v>152485.41000000003</v>
      </c>
      <c r="L121" s="4">
        <v>0</v>
      </c>
      <c r="M121" s="4">
        <v>0</v>
      </c>
      <c r="N121" s="4">
        <v>0</v>
      </c>
      <c r="O121" s="4">
        <v>22018.920000000009</v>
      </c>
      <c r="P121" s="4">
        <v>48962.76</v>
      </c>
      <c r="Q121" s="4">
        <v>0</v>
      </c>
      <c r="R121" s="4">
        <v>0</v>
      </c>
      <c r="S121" s="4">
        <v>92593.269999999917</v>
      </c>
      <c r="T121" s="4">
        <v>1016.4000000000001</v>
      </c>
      <c r="U121" s="4">
        <v>0</v>
      </c>
      <c r="V121" s="4">
        <v>0</v>
      </c>
    </row>
    <row r="122" spans="1:22" ht="15" customHeight="1" x14ac:dyDescent="0.25">
      <c r="A122" s="30"/>
      <c r="B122" s="3" t="s">
        <v>144</v>
      </c>
      <c r="C122" s="4">
        <v>16736.72</v>
      </c>
      <c r="D122" s="4">
        <v>0</v>
      </c>
      <c r="E122" s="4">
        <v>0</v>
      </c>
      <c r="F122" s="4">
        <v>5100.4800000000005</v>
      </c>
      <c r="G122" s="4">
        <v>0</v>
      </c>
      <c r="H122" s="4">
        <v>0</v>
      </c>
      <c r="I122" s="4">
        <v>4147.5300000000007</v>
      </c>
      <c r="J122" s="4">
        <v>0</v>
      </c>
      <c r="K122" s="4">
        <v>8370.67</v>
      </c>
      <c r="L122" s="4">
        <v>2550.2400000000002</v>
      </c>
      <c r="M122" s="4">
        <v>2550.2400000000002</v>
      </c>
      <c r="N122" s="4">
        <v>0</v>
      </c>
      <c r="O122" s="4">
        <v>0</v>
      </c>
      <c r="P122" s="4">
        <v>-637.55999999999995</v>
      </c>
      <c r="Q122" s="4">
        <v>850.08</v>
      </c>
      <c r="R122" s="4">
        <v>0</v>
      </c>
      <c r="S122" s="4">
        <v>0</v>
      </c>
      <c r="T122" s="4">
        <v>0</v>
      </c>
      <c r="U122" s="4">
        <v>0</v>
      </c>
      <c r="V122" s="4">
        <v>3400.32</v>
      </c>
    </row>
    <row r="123" spans="1:22" ht="15" customHeight="1" x14ac:dyDescent="0.25">
      <c r="A123" s="30"/>
      <c r="B123" s="3" t="s">
        <v>145</v>
      </c>
      <c r="C123" s="4">
        <v>8963.23</v>
      </c>
      <c r="D123" s="4">
        <v>0</v>
      </c>
      <c r="E123" s="4">
        <v>15790.17</v>
      </c>
      <c r="F123" s="4">
        <v>17508.169999999998</v>
      </c>
      <c r="G123" s="4">
        <v>0</v>
      </c>
      <c r="H123" s="4">
        <v>0</v>
      </c>
      <c r="I123" s="4">
        <v>161094.46999999997</v>
      </c>
      <c r="J123" s="4">
        <v>0</v>
      </c>
      <c r="K123" s="4">
        <v>31282.100000000002</v>
      </c>
      <c r="L123" s="4">
        <v>0</v>
      </c>
      <c r="M123" s="4">
        <v>667.26000000000113</v>
      </c>
      <c r="N123" s="4">
        <v>0</v>
      </c>
      <c r="O123" s="4">
        <v>8945.09</v>
      </c>
      <c r="P123" s="4">
        <v>17271.849999999999</v>
      </c>
      <c r="Q123" s="4">
        <v>-1958.77</v>
      </c>
      <c r="R123" s="4">
        <v>0</v>
      </c>
      <c r="S123" s="4">
        <v>-231.06</v>
      </c>
      <c r="T123" s="4">
        <v>45687.179999999993</v>
      </c>
      <c r="U123" s="4">
        <v>377.59</v>
      </c>
      <c r="V123" s="4">
        <v>11143.470000000001</v>
      </c>
    </row>
    <row r="124" spans="1:22" ht="15" customHeight="1" x14ac:dyDescent="0.25">
      <c r="A124" s="30"/>
      <c r="B124" s="3" t="s">
        <v>146</v>
      </c>
      <c r="C124" s="4">
        <v>0</v>
      </c>
      <c r="D124" s="4">
        <v>0</v>
      </c>
      <c r="E124" s="4">
        <v>0</v>
      </c>
      <c r="F124" s="4">
        <v>-5970.58</v>
      </c>
      <c r="G124" s="4">
        <v>0</v>
      </c>
      <c r="H124" s="4">
        <v>0</v>
      </c>
      <c r="I124" s="4">
        <v>-43166.2</v>
      </c>
      <c r="J124" s="4">
        <v>0</v>
      </c>
      <c r="K124" s="4">
        <v>-8085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-415.03</v>
      </c>
      <c r="T124" s="4">
        <v>0</v>
      </c>
      <c r="U124" s="4">
        <v>0</v>
      </c>
      <c r="V124" s="4">
        <v>0</v>
      </c>
    </row>
    <row r="125" spans="1:22" ht="15" customHeight="1" x14ac:dyDescent="0.25">
      <c r="A125" s="30"/>
      <c r="B125" s="3" t="s">
        <v>147</v>
      </c>
      <c r="C125" s="4">
        <v>11321.31</v>
      </c>
      <c r="D125" s="4">
        <v>0</v>
      </c>
      <c r="E125" s="4">
        <v>-3104.64</v>
      </c>
      <c r="F125" s="4">
        <v>150020.63999999993</v>
      </c>
      <c r="G125" s="4">
        <v>0</v>
      </c>
      <c r="H125" s="4">
        <v>0</v>
      </c>
      <c r="I125" s="4">
        <v>253856.67999999993</v>
      </c>
      <c r="J125" s="4">
        <v>0</v>
      </c>
      <c r="K125" s="4">
        <v>143943.03000000003</v>
      </c>
      <c r="L125" s="4">
        <v>31766.350000000006</v>
      </c>
      <c r="M125" s="4">
        <v>-2044.35</v>
      </c>
      <c r="N125" s="4">
        <v>0</v>
      </c>
      <c r="O125" s="4">
        <v>17395.84</v>
      </c>
      <c r="P125" s="4">
        <v>69690.39</v>
      </c>
      <c r="Q125" s="4">
        <v>29459.43</v>
      </c>
      <c r="R125" s="4">
        <v>0</v>
      </c>
      <c r="S125" s="4">
        <v>51308.950000000026</v>
      </c>
      <c r="T125" s="4">
        <v>78586.200000000012</v>
      </c>
      <c r="U125" s="4">
        <v>9014.39</v>
      </c>
      <c r="V125" s="4">
        <v>64602.229999999989</v>
      </c>
    </row>
    <row r="126" spans="1:22" ht="15" customHeight="1" x14ac:dyDescent="0.25">
      <c r="A126" s="30"/>
      <c r="B126" s="3" t="s">
        <v>148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320.32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</row>
    <row r="127" spans="1:22" ht="15" customHeight="1" x14ac:dyDescent="0.25">
      <c r="A127" s="30"/>
      <c r="B127" s="3" t="s">
        <v>149</v>
      </c>
      <c r="C127" s="4">
        <v>1720.1799999999998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-380.38</v>
      </c>
      <c r="J127" s="4">
        <v>0</v>
      </c>
      <c r="K127" s="4">
        <v>11533.370000000003</v>
      </c>
      <c r="L127" s="4">
        <v>7233.3799999999992</v>
      </c>
      <c r="M127" s="4">
        <v>7370.44</v>
      </c>
      <c r="N127" s="4">
        <v>0</v>
      </c>
      <c r="O127" s="4">
        <v>2217.6</v>
      </c>
      <c r="P127" s="4">
        <v>1268.96</v>
      </c>
      <c r="Q127" s="4">
        <v>-92.4</v>
      </c>
      <c r="R127" s="4">
        <v>0</v>
      </c>
      <c r="S127" s="4">
        <v>0</v>
      </c>
      <c r="T127" s="4">
        <v>0</v>
      </c>
      <c r="U127" s="4">
        <v>0</v>
      </c>
      <c r="V127" s="4">
        <v>5351.5</v>
      </c>
    </row>
    <row r="128" spans="1:22" ht="15" customHeight="1" x14ac:dyDescent="0.25">
      <c r="A128" s="30"/>
      <c r="B128" s="3" t="s">
        <v>150</v>
      </c>
      <c r="C128" s="4">
        <v>0</v>
      </c>
      <c r="D128" s="4">
        <v>0</v>
      </c>
      <c r="E128" s="4">
        <v>0</v>
      </c>
      <c r="F128" s="4">
        <v>987.1400000000001</v>
      </c>
      <c r="G128" s="4">
        <v>0</v>
      </c>
      <c r="H128" s="4">
        <v>0</v>
      </c>
      <c r="I128" s="4">
        <v>-16556.080000000002</v>
      </c>
      <c r="J128" s="4">
        <v>0</v>
      </c>
      <c r="K128" s="4">
        <v>101832.49999999997</v>
      </c>
      <c r="L128" s="4">
        <v>0</v>
      </c>
      <c r="M128" s="4">
        <v>0</v>
      </c>
      <c r="N128" s="4">
        <v>0</v>
      </c>
      <c r="O128" s="4">
        <v>0</v>
      </c>
      <c r="P128" s="4">
        <v>876.26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</row>
    <row r="129" spans="1:22" ht="15" customHeight="1" x14ac:dyDescent="0.25">
      <c r="A129" s="30"/>
      <c r="B129" s="3" t="s">
        <v>151</v>
      </c>
      <c r="C129" s="4">
        <v>0</v>
      </c>
      <c r="D129" s="4">
        <v>0</v>
      </c>
      <c r="E129" s="4">
        <v>10718.4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2679.6</v>
      </c>
      <c r="L129" s="4">
        <v>2679.6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</row>
    <row r="130" spans="1:22" ht="15" customHeight="1" x14ac:dyDescent="0.25">
      <c r="A130" s="30"/>
      <c r="B130" s="3" t="s">
        <v>152</v>
      </c>
      <c r="C130" s="4">
        <v>39281.93</v>
      </c>
      <c r="D130" s="4">
        <v>0</v>
      </c>
      <c r="E130" s="4">
        <v>94475.919999999984</v>
      </c>
      <c r="F130" s="4">
        <v>119830.48000000004</v>
      </c>
      <c r="G130" s="4">
        <v>0</v>
      </c>
      <c r="H130" s="4">
        <v>0</v>
      </c>
      <c r="I130" s="4">
        <v>329672.56000000006</v>
      </c>
      <c r="J130" s="4">
        <v>0</v>
      </c>
      <c r="K130" s="4">
        <v>353646.65</v>
      </c>
      <c r="L130" s="4">
        <v>19921.440000000002</v>
      </c>
      <c r="M130" s="4">
        <v>33239.360000000008</v>
      </c>
      <c r="N130" s="4">
        <v>0</v>
      </c>
      <c r="O130" s="4">
        <v>12695.760000000002</v>
      </c>
      <c r="P130" s="4">
        <v>131639.20000000001</v>
      </c>
      <c r="Q130" s="4">
        <v>14488.32</v>
      </c>
      <c r="R130" s="4">
        <v>6338.64</v>
      </c>
      <c r="S130" s="4">
        <v>110124.19000000003</v>
      </c>
      <c r="T130" s="4">
        <v>37428.160000000011</v>
      </c>
      <c r="U130" s="4">
        <v>18110.400000000001</v>
      </c>
      <c r="V130" s="4">
        <v>87983.28</v>
      </c>
    </row>
    <row r="131" spans="1:22" x14ac:dyDescent="0.25">
      <c r="B131">
        <f>COUNTA(B5:B130)</f>
        <v>126</v>
      </c>
      <c r="C131" s="5">
        <f>SUM(C5:C130)</f>
        <v>3762060.120000001</v>
      </c>
      <c r="D131" s="5">
        <f t="shared" ref="D131:V131" si="0">SUM(D5:D130)</f>
        <v>528725.85000000009</v>
      </c>
      <c r="E131" s="5">
        <f t="shared" si="0"/>
        <v>4961746.5600000005</v>
      </c>
      <c r="F131" s="5">
        <f t="shared" si="0"/>
        <v>6975839.759999997</v>
      </c>
      <c r="G131" s="5">
        <f t="shared" si="0"/>
        <v>2040801.62</v>
      </c>
      <c r="H131" s="5">
        <f t="shared" si="0"/>
        <v>403078.32</v>
      </c>
      <c r="I131" s="5">
        <f t="shared" si="0"/>
        <v>19346801.430000003</v>
      </c>
      <c r="J131" s="5">
        <f t="shared" si="0"/>
        <v>250579.18000000002</v>
      </c>
      <c r="K131" s="5">
        <f t="shared" si="0"/>
        <v>21858700.040000007</v>
      </c>
      <c r="L131" s="5">
        <f t="shared" si="0"/>
        <v>3989626.910000002</v>
      </c>
      <c r="M131" s="5">
        <f t="shared" si="0"/>
        <v>1464944.8100000003</v>
      </c>
      <c r="N131" s="5">
        <f t="shared" si="0"/>
        <v>102644.51000000001</v>
      </c>
      <c r="O131" s="5">
        <f t="shared" si="0"/>
        <v>1092660.0200000003</v>
      </c>
      <c r="P131" s="5">
        <f t="shared" si="0"/>
        <v>7806287.5</v>
      </c>
      <c r="Q131" s="5">
        <f t="shared" si="0"/>
        <v>1372510.8099999998</v>
      </c>
      <c r="R131" s="5">
        <f t="shared" si="0"/>
        <v>250651.51999999999</v>
      </c>
      <c r="S131" s="5">
        <f t="shared" si="0"/>
        <v>8265945.1199999992</v>
      </c>
      <c r="T131" s="5">
        <f t="shared" si="0"/>
        <v>7315883.7800000021</v>
      </c>
      <c r="U131" s="5">
        <f t="shared" si="0"/>
        <v>490060.13999999984</v>
      </c>
      <c r="V131" s="5">
        <f t="shared" si="0"/>
        <v>6490348.5900000008</v>
      </c>
    </row>
  </sheetData>
  <mergeCells count="2">
    <mergeCell ref="C3:V3"/>
    <mergeCell ref="A5:A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Base Vendedores Trad Mvd</vt:lpstr>
      <vt:lpstr>Porcentajes (Distribuidores)</vt:lpstr>
      <vt:lpstr>Distribuidores por Marca en $</vt:lpstr>
      <vt:lpstr>Volcado_Dist</vt:lpstr>
      <vt:lpstr>Volcado_Vend</vt:lpstr>
      <vt:lpstr>Vendedores</vt:lpstr>
      <vt:lpstr>Credenciales</vt:lpstr>
      <vt:lpstr>Importe $ (Distribuidores)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 Lanterna</cp:lastModifiedBy>
  <dcterms:created xsi:type="dcterms:W3CDTF">2026-08-12T18:55:45Z</dcterms:created>
  <dcterms:modified xsi:type="dcterms:W3CDTF">2026-09-14T19:07:27Z</dcterms:modified>
</cp:coreProperties>
</file>